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filterPrivacy="1"/>
  <xr:revisionPtr revIDLastSave="0" documentId="8_{B4B745AD-507A-41A8-819E-6A8C9A034A2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4" i="1" l="1"/>
  <c r="L15" i="1"/>
  <c r="L7" i="1"/>
  <c r="K7" i="1"/>
  <c r="K15" i="1" l="1"/>
  <c r="J15" i="1"/>
  <c r="C15" i="1" s="1"/>
  <c r="K24" i="1"/>
  <c r="J24" i="1"/>
  <c r="J7" i="1" l="1"/>
  <c r="H24" i="1" l="1"/>
  <c r="H15" i="1"/>
  <c r="H7" i="1"/>
  <c r="G24" i="1"/>
  <c r="G15" i="1"/>
  <c r="G7" i="1"/>
  <c r="C24" i="1" l="1"/>
  <c r="D24" i="1"/>
  <c r="E24" i="1"/>
  <c r="F24" i="1"/>
  <c r="B24" i="1"/>
  <c r="F15" i="1"/>
  <c r="B15" i="1"/>
  <c r="C7" i="1"/>
  <c r="D7" i="1"/>
  <c r="E7" i="1"/>
  <c r="F7" i="1"/>
  <c r="B7" i="1"/>
  <c r="D15" i="1"/>
  <c r="E15" i="1"/>
</calcChain>
</file>

<file path=xl/sharedStrings.xml><?xml version="1.0" encoding="utf-8"?>
<sst xmlns="http://schemas.openxmlformats.org/spreadsheetml/2006/main" count="59" uniqueCount="34">
  <si>
    <t>Linked account name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</si>
  <si>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</si>
  <si>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</si>
  <si>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</si>
  <si>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</si>
  <si>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</si>
  <si>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</si>
  <si>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</si>
  <si>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</si>
  <si>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</si>
  <si>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</si>
  <si>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</si>
  <si>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</si>
  <si>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SAP-GXP-PRD ($)</t>
  </si>
  <si>
    <t>SAP-NGXP-PRD ($)</t>
  </si>
  <si>
    <t>SAP-GXP-NPRD ($)</t>
  </si>
  <si>
    <t>SAP-NGXP-NPRD ($)</t>
  </si>
  <si>
    <t>Total costs ($)</t>
  </si>
  <si>
    <t>Discounts Drilldown (only SAP)</t>
  </si>
  <si>
    <t>Charge type</t>
  </si>
  <si>
    <t>Enterprise Discount Program Discount($)</t>
  </si>
  <si>
    <t>Refund($)</t>
  </si>
  <si>
    <t>Private Rate Card Discount($)</t>
  </si>
  <si>
    <t>Credit($)</t>
  </si>
  <si>
    <t>Total costs($)</t>
  </si>
  <si>
    <t>Rest of the account ( Payer Account )</t>
  </si>
  <si>
    <t>credits (-)</t>
  </si>
  <si>
    <t>Adjusting to SAP using cloudverse allocation</t>
  </si>
  <si>
    <t>Other discount (PRC)</t>
  </si>
  <si>
    <t>Other adjustments ( EDP )</t>
  </si>
  <si>
    <t>Total costs($) ( Discounts )</t>
  </si>
  <si>
    <t>Usage Cost -  (Excluding Credits, Tax) billing enit - Excluding (Market place)</t>
  </si>
  <si>
    <t>Monthly actual cost ( Excl Credits &amp; Tax , Out of cycle  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</si>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</sst>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F141A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F141A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4" fontId="3" fillId="0" borderId="1" xfId="0" applyNumberFormat="1" applyFont="1" applyBorder="1" applyAlignment="1">
      <alignment horizontal="center" vertical="center"/>
    </xf>
    <xf numFmtId="2" fontId="2" fillId="3" borderId="1" xfId="0" applyNumberFormat="1" applyFont="1" applyFill="1" applyBorder="1" applyAlignment="1">
      <alignment horizontal="center" vertical="center"/>
    </xf>
    <xf numFmtId="4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2" fontId="6" fillId="3" borderId="1" xfId="0" applyNumberFormat="1" applyFont="1" applyFill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4" fontId="2" fillId="0" borderId="0" xfId="0" applyNumberFormat="1" applyFont="1" applyAlignment="1">
      <alignment horizontal="center" vertical="center"/>
    </xf>
    <xf numFmtId="2" fontId="6" fillId="3" borderId="7" xfId="0" applyNumberFormat="1" applyFont="1" applyFill="1" applyBorder="1" applyAlignment="1">
      <alignment horizontal="center" vertical="center"/>
    </xf>
    <xf numFmtId="2" fontId="2" fillId="3" borderId="2" xfId="0" applyNumberFormat="1" applyFont="1" applyFill="1" applyBorder="1" applyAlignment="1">
      <alignment horizontal="center" vertical="center"/>
    </xf>
    <xf numFmtId="2" fontId="6" fillId="3" borderId="2" xfId="0" applyNumberFormat="1" applyFont="1" applyFill="1" applyBorder="1" applyAlignment="1">
      <alignment horizontal="center" vertical="center"/>
    </xf>
    <xf numFmtId="14" fontId="3" fillId="0" borderId="8" xfId="0" applyNumberFormat="1" applyFont="1" applyBorder="1" applyAlignment="1">
      <alignment horizontal="center" vertical="center"/>
    </xf>
    <xf numFmtId="4" fontId="3" fillId="0" borderId="7" xfId="0" applyNumberFormat="1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"/>
  <sheetViews>
    <sheetView tabSelected="1" workbookViewId="0">
      <selection activeCell="A23" sqref="A23"/>
    </sheetView>
  </sheetViews>
  <sheetFormatPr defaultColWidth="42.453125" defaultRowHeight="13" x14ac:dyDescent="0.35"/>
  <cols>
    <col min="1" max="1" width="33.6328125" style="7" bestFit="1" customWidth="1"/>
    <col min="2" max="3" width="9.54296875" style="4" bestFit="1" customWidth="1"/>
    <col min="4" max="4" width="9.453125" style="4" bestFit="1" customWidth="1"/>
    <col min="5" max="6" width="9.54296875" style="4" bestFit="1" customWidth="1"/>
    <col min="7" max="7" width="10.36328125" style="4" bestFit="1" customWidth="1"/>
    <col min="8" max="8" width="9.90625" style="4" bestFit="1" customWidth="1"/>
    <col min="9" max="9" width="10.36328125" style="4" bestFit="1" customWidth="1"/>
    <col min="10" max="10" width="11.54296875" style="4" bestFit="1" customWidth="1"/>
    <col min="11" max="11" width="10" style="4" bestFit="1" customWidth="1"/>
    <col min="12" max="12" width="9.453125" style="4" bestFit="1" customWidth="1"/>
    <col min="13" max="13" width="9.26953125" style="4" customWidth="1"/>
    <col min="14" max="14" width="35.90625" style="4" bestFit="1" customWidth="1"/>
    <col min="15" max="16384" width="42.453125" style="4"/>
  </cols>
  <sheetData>
    <row r="1" spans="1:14" x14ac:dyDescent="0.35">
      <c r="A1" s="5" t="s">
        <v>31</v>
      </c>
      <c r="B1" s="23"/>
      <c r="C1" s="24"/>
      <c r="D1" s="24"/>
      <c r="E1" s="24"/>
      <c r="F1" s="24"/>
      <c r="G1" s="24"/>
      <c r="H1" s="24"/>
      <c r="I1" s="24"/>
      <c r="J1" s="24"/>
      <c r="K1" s="24"/>
      <c r="L1" s="24"/>
      <c r="M1" s="25"/>
    </row>
    <row r="2" spans="1:14" s="7" customFormat="1" x14ac:dyDescent="0.35">
      <c r="A2" s="2" t="s">
        <v>0</v>
      </c>
      <c r="B2" s="8" t="s">
        <v>1</v>
      </c>
      <c r="C2" s="8" t="s">
        <v>2</v>
      </c>
      <c r="D2" s="8" t="s">
        <v>3</v>
      </c>
      <c r="E2" s="8" t="s">
        <v>4</v>
      </c>
      <c r="F2" s="8" t="s">
        <v>5</v>
      </c>
      <c r="G2" s="20" t="s">
        <v>6</v>
      </c>
      <c r="H2" s="20" t="s">
        <v>7</v>
      </c>
      <c r="I2" s="20" t="s">
        <v>8</v>
      </c>
      <c r="J2" s="8" t="s">
        <v>9</v>
      </c>
      <c r="K2" s="8" t="s">
        <v>10</v>
      </c>
      <c r="L2" s="8" t="s">
        <v>11</v>
      </c>
      <c r="M2" s="8" t="s">
        <v>12</v>
      </c>
    </row>
    <row r="3" spans="1:14" x14ac:dyDescent="0.35">
      <c r="A3" s="2" t="s">
        <v>13</v>
      </c>
      <c r="B3" s="10">
        <v>82215.95</v>
      </c>
      <c r="C3" s="10">
        <v>86387.92</v>
      </c>
      <c r="D3" s="10">
        <v>78748.47</v>
      </c>
      <c r="E3" s="10">
        <v>82594.33</v>
      </c>
      <c r="F3" s="18">
        <v>82371.210000000006</v>
      </c>
      <c r="G3" s="14">
        <v>81416.899999999994</v>
      </c>
      <c r="H3" s="14">
        <v>82590.960000000006</v>
      </c>
      <c r="I3" s="14">
        <v>80136.95</v>
      </c>
      <c r="J3" s="14">
        <v>81593.259999999995</v>
      </c>
      <c r="K3" s="14">
        <v>84826.15</v>
      </c>
      <c r="L3" s="14">
        <v>77116.639999999999</v>
      </c>
      <c r="M3" s="1"/>
    </row>
    <row r="4" spans="1:14" x14ac:dyDescent="0.35">
      <c r="A4" s="2" t="s">
        <v>14</v>
      </c>
      <c r="B4" s="10">
        <v>9802.2099999999991</v>
      </c>
      <c r="C4" s="10">
        <v>9988.9500000000007</v>
      </c>
      <c r="D4" s="10">
        <v>10165.15</v>
      </c>
      <c r="E4" s="10">
        <v>10373.85</v>
      </c>
      <c r="F4" s="18">
        <v>10488.5</v>
      </c>
      <c r="G4" s="14">
        <v>10132.06</v>
      </c>
      <c r="H4" s="14">
        <v>10105.4</v>
      </c>
      <c r="I4" s="14">
        <v>9265.1200000000008</v>
      </c>
      <c r="J4" s="14">
        <v>11052.13</v>
      </c>
      <c r="K4" s="14">
        <v>11650.42</v>
      </c>
      <c r="L4" s="14">
        <v>10942.26</v>
      </c>
      <c r="M4" s="1"/>
    </row>
    <row r="5" spans="1:14" x14ac:dyDescent="0.35">
      <c r="A5" s="2" t="s">
        <v>15</v>
      </c>
      <c r="B5" s="10">
        <v>2660.25</v>
      </c>
      <c r="C5" s="10">
        <v>3088.43</v>
      </c>
      <c r="D5" s="10">
        <v>2825.47</v>
      </c>
      <c r="E5" s="10">
        <v>2713.3</v>
      </c>
      <c r="F5" s="18">
        <v>2752.95</v>
      </c>
      <c r="G5" s="14">
        <v>2770.14</v>
      </c>
      <c r="H5" s="14">
        <v>2755.22</v>
      </c>
      <c r="I5" s="14">
        <v>2725.64</v>
      </c>
      <c r="J5" s="14">
        <v>2768.08</v>
      </c>
      <c r="K5" s="14">
        <v>2907.08</v>
      </c>
      <c r="L5" s="14">
        <v>2823.24</v>
      </c>
      <c r="M5" s="1"/>
    </row>
    <row r="6" spans="1:14" x14ac:dyDescent="0.35">
      <c r="A6" s="2" t="s">
        <v>16</v>
      </c>
      <c r="B6" s="10">
        <v>631.16999999999996</v>
      </c>
      <c r="C6" s="10">
        <v>647.83000000000004</v>
      </c>
      <c r="D6" s="10">
        <v>666.5</v>
      </c>
      <c r="E6" s="10">
        <v>684.07</v>
      </c>
      <c r="F6" s="18">
        <v>688.09</v>
      </c>
      <c r="G6" s="14">
        <v>669.54</v>
      </c>
      <c r="H6" s="14">
        <v>662.77</v>
      </c>
      <c r="I6" s="14">
        <v>646.76</v>
      </c>
      <c r="J6" s="14">
        <v>636.05999999999995</v>
      </c>
      <c r="K6" s="1">
        <v>616.16</v>
      </c>
      <c r="L6" s="14">
        <v>596.97</v>
      </c>
      <c r="M6" s="1"/>
    </row>
    <row r="7" spans="1:14" x14ac:dyDescent="0.35">
      <c r="A7" s="2" t="s">
        <v>17</v>
      </c>
      <c r="B7" s="13">
        <f>SUM(B3:B6)</f>
        <v>95309.58</v>
      </c>
      <c r="C7" s="13">
        <f>SUM(C3:C6)</f>
        <v>100113.12999999999</v>
      </c>
      <c r="D7" s="13">
        <f t="shared" ref="D7:H7" si="0">SUM(D3:D6)</f>
        <v>92405.59</v>
      </c>
      <c r="E7" s="13">
        <f t="shared" si="0"/>
        <v>96365.550000000017</v>
      </c>
      <c r="F7" s="19">
        <f t="shared" si="0"/>
        <v>96300.75</v>
      </c>
      <c r="G7" s="17">
        <f t="shared" si="0"/>
        <v>94988.639999999985</v>
      </c>
      <c r="H7" s="17">
        <f t="shared" si="0"/>
        <v>96114.35</v>
      </c>
      <c r="I7" s="21">
        <v>92774.48</v>
      </c>
      <c r="J7" s="21">
        <f>SUM(J3:J6)</f>
        <v>96049.53</v>
      </c>
      <c r="K7" s="21">
        <f>SUM(K3:K6)</f>
        <v>99999.81</v>
      </c>
      <c r="L7" s="21">
        <f>SUM(L3:L6)</f>
        <v>91479.11</v>
      </c>
      <c r="M7" s="1"/>
    </row>
    <row r="8" spans="1:14" x14ac:dyDescent="0.35">
      <c r="A8" s="6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</row>
    <row r="9" spans="1:14" x14ac:dyDescent="0.35">
      <c r="A9" s="5" t="s">
        <v>18</v>
      </c>
      <c r="B9" s="26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15"/>
    </row>
    <row r="10" spans="1:14" x14ac:dyDescent="0.35">
      <c r="A10" s="2" t="s">
        <v>19</v>
      </c>
      <c r="B10" s="8" t="s">
        <v>1</v>
      </c>
      <c r="C10" s="8" t="s">
        <v>2</v>
      </c>
      <c r="D10" s="8" t="s">
        <v>3</v>
      </c>
      <c r="E10" s="8" t="s">
        <v>4</v>
      </c>
      <c r="F10" s="8" t="s">
        <v>5</v>
      </c>
      <c r="G10" s="8" t="s">
        <v>6</v>
      </c>
      <c r="H10" s="8" t="s">
        <v>7</v>
      </c>
      <c r="I10" s="8" t="s">
        <v>8</v>
      </c>
      <c r="J10" s="8" t="s">
        <v>9</v>
      </c>
      <c r="K10" s="8" t="s">
        <v>10</v>
      </c>
      <c r="L10" s="8" t="s">
        <v>11</v>
      </c>
      <c r="M10" s="8" t="s">
        <v>12</v>
      </c>
    </row>
    <row r="11" spans="1:14" x14ac:dyDescent="0.35">
      <c r="A11" s="2" t="s">
        <v>20</v>
      </c>
      <c r="B11" s="11">
        <v>-1850.28</v>
      </c>
      <c r="C11" s="12"/>
      <c r="D11" s="11">
        <v>-9927.3700000000008</v>
      </c>
      <c r="E11" s="11">
        <v>-10356.030000000001</v>
      </c>
      <c r="F11" s="11">
        <v>-10348.83</v>
      </c>
      <c r="G11" s="16">
        <v>-10214.370000000001</v>
      </c>
      <c r="H11" s="14">
        <v>-10328.120000000001</v>
      </c>
      <c r="I11" s="14">
        <v>9968.35</v>
      </c>
      <c r="J11" s="14">
        <v>-11519.1</v>
      </c>
      <c r="K11" s="14">
        <v>-10759.84</v>
      </c>
      <c r="L11" s="14">
        <v>-9847.09</v>
      </c>
      <c r="M11" s="1"/>
    </row>
    <row r="12" spans="1:14" x14ac:dyDescent="0.35">
      <c r="A12" s="2" t="s">
        <v>21</v>
      </c>
      <c r="B12" s="12"/>
      <c r="C12" s="11">
        <v>-4777.29</v>
      </c>
      <c r="D12" s="12"/>
      <c r="E12" s="12"/>
      <c r="F12" s="12"/>
      <c r="G12" s="1"/>
      <c r="H12" s="1"/>
      <c r="I12" s="1"/>
      <c r="J12" s="14">
        <v>-10783.61</v>
      </c>
      <c r="K12" s="1"/>
      <c r="L12" s="1"/>
      <c r="M12" s="1"/>
    </row>
    <row r="13" spans="1:14" x14ac:dyDescent="0.35">
      <c r="A13" s="2" t="s">
        <v>22</v>
      </c>
      <c r="B13" s="11">
        <v>-2598.0300000000002</v>
      </c>
      <c r="C13" s="12"/>
      <c r="D13" s="12"/>
      <c r="E13" s="12"/>
      <c r="F13" s="12"/>
      <c r="G13" s="1"/>
      <c r="H13" s="1"/>
      <c r="I13" s="1"/>
      <c r="J13" s="1"/>
      <c r="K13" s="1"/>
      <c r="L13" s="1"/>
      <c r="M13" s="1"/>
    </row>
    <row r="14" spans="1:14" x14ac:dyDescent="0.35">
      <c r="A14" s="2" t="s">
        <v>23</v>
      </c>
      <c r="B14" s="11">
        <v>-67500</v>
      </c>
      <c r="C14" s="11">
        <v>-67500</v>
      </c>
      <c r="D14" s="12"/>
      <c r="E14" s="12"/>
      <c r="F14" s="12"/>
      <c r="G14" s="2"/>
      <c r="H14" s="2"/>
      <c r="I14" s="2"/>
      <c r="J14" s="2"/>
      <c r="K14" s="2"/>
      <c r="L14" s="1"/>
      <c r="M14" s="1"/>
    </row>
    <row r="15" spans="1:14" x14ac:dyDescent="0.35">
      <c r="A15" s="2" t="s">
        <v>24</v>
      </c>
      <c r="B15" s="9">
        <f t="shared" ref="B15:H15" si="1">SUM(B11:B14)</f>
        <v>-71948.31</v>
      </c>
      <c r="C15" s="9">
        <f>J15</f>
        <v>-22302.71</v>
      </c>
      <c r="D15" s="9">
        <f t="shared" si="1"/>
        <v>-9927.3700000000008</v>
      </c>
      <c r="E15" s="9">
        <f t="shared" si="1"/>
        <v>-10356.030000000001</v>
      </c>
      <c r="F15" s="9">
        <f t="shared" si="1"/>
        <v>-10348.83</v>
      </c>
      <c r="G15" s="9">
        <f t="shared" si="1"/>
        <v>-10214.370000000001</v>
      </c>
      <c r="H15" s="9">
        <f t="shared" si="1"/>
        <v>-10328.120000000001</v>
      </c>
      <c r="I15" s="9">
        <v>9968.35</v>
      </c>
      <c r="J15" s="9">
        <f>SUM(J11:J14)</f>
        <v>-22302.71</v>
      </c>
      <c r="K15" s="9">
        <f>SUM(K11:K14)</f>
        <v>-10759.84</v>
      </c>
      <c r="L15" s="9">
        <f>SUM(L11:L14)</f>
        <v>-9847.09</v>
      </c>
      <c r="M15" s="1"/>
    </row>
    <row r="16" spans="1:14" x14ac:dyDescent="0.35">
      <c r="A16" s="6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1:14" x14ac:dyDescent="0.35">
      <c r="A17" s="6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1:14" x14ac:dyDescent="0.35">
      <c r="A18" s="5" t="s">
        <v>25</v>
      </c>
      <c r="B18" s="8" t="s">
        <v>1</v>
      </c>
      <c r="C18" s="8" t="s">
        <v>2</v>
      </c>
      <c r="D18" s="8" t="s">
        <v>3</v>
      </c>
      <c r="E18" s="8" t="s">
        <v>4</v>
      </c>
      <c r="F18" s="8" t="s">
        <v>5</v>
      </c>
      <c r="G18" s="8" t="s">
        <v>6</v>
      </c>
      <c r="H18" s="8" t="s">
        <v>7</v>
      </c>
      <c r="I18" s="8" t="s">
        <v>8</v>
      </c>
      <c r="J18" s="8" t="s">
        <v>9</v>
      </c>
      <c r="K18" s="8" t="s">
        <v>10</v>
      </c>
      <c r="L18" s="8" t="s">
        <v>11</v>
      </c>
      <c r="M18" s="8" t="s">
        <v>12</v>
      </c>
    </row>
    <row r="19" spans="1:14" x14ac:dyDescent="0.35">
      <c r="A19" s="2" t="s">
        <v>32</v>
      </c>
      <c r="B19" s="11">
        <v>49336.06</v>
      </c>
      <c r="C19" s="11">
        <v>15353.75</v>
      </c>
      <c r="D19" s="11">
        <v>57960.71</v>
      </c>
      <c r="E19" s="11">
        <v>59583.93</v>
      </c>
      <c r="F19" s="11">
        <v>58722.9</v>
      </c>
      <c r="G19" s="14">
        <v>56438.29</v>
      </c>
      <c r="H19" s="14">
        <v>58091.45</v>
      </c>
      <c r="I19" s="14">
        <v>56195.91</v>
      </c>
      <c r="J19" s="14">
        <v>58029.85</v>
      </c>
      <c r="K19" s="14">
        <v>58246.07</v>
      </c>
      <c r="L19" s="14">
        <v>51064.39</v>
      </c>
      <c r="M19" s="1"/>
    </row>
    <row r="20" spans="1:14" x14ac:dyDescent="0.35">
      <c r="A20" s="2" t="s">
        <v>26</v>
      </c>
      <c r="B20" s="12"/>
      <c r="C20" s="12"/>
      <c r="D20" s="11">
        <v>-40989.839999999997</v>
      </c>
      <c r="E20" s="11">
        <v>-41699.03</v>
      </c>
      <c r="F20" s="11">
        <v>-40809.040000000001</v>
      </c>
      <c r="G20" s="14">
        <v>-39080.769999999997</v>
      </c>
      <c r="H20" s="14">
        <v>-9895.32</v>
      </c>
      <c r="I20" s="14">
        <v>-36028.85</v>
      </c>
      <c r="J20" s="2" t="s">
        <v>33</v>
      </c>
      <c r="K20" s="2"/>
      <c r="L20" s="1"/>
      <c r="M20" s="1"/>
      <c r="N20" s="4" t="s">
        <v>27</v>
      </c>
    </row>
    <row r="21" spans="1:14" x14ac:dyDescent="0.35">
      <c r="A21" s="2" t="s">
        <v>28</v>
      </c>
      <c r="B21" s="12">
        <v>-3.31</v>
      </c>
      <c r="C21" s="12"/>
      <c r="D21" s="12"/>
      <c r="E21" s="12"/>
      <c r="F21" s="12"/>
      <c r="G21" s="14"/>
      <c r="H21" s="14"/>
      <c r="I21" s="14"/>
      <c r="J21" s="1"/>
      <c r="K21" s="1"/>
      <c r="L21" s="1"/>
      <c r="M21" s="1"/>
    </row>
    <row r="22" spans="1:14" x14ac:dyDescent="0.35">
      <c r="A22" s="2" t="s">
        <v>29</v>
      </c>
      <c r="B22" s="12">
        <v>-804.73</v>
      </c>
      <c r="C22" s="12"/>
      <c r="D22" s="11">
        <v>-2900.56</v>
      </c>
      <c r="E22" s="11">
        <v>-2924.23</v>
      </c>
      <c r="F22" s="11">
        <v>-2825.35</v>
      </c>
      <c r="G22" s="14">
        <v>-2688.44</v>
      </c>
      <c r="H22" s="14">
        <v>-2777.69</v>
      </c>
      <c r="I22" s="14">
        <v>-2682.21</v>
      </c>
      <c r="J22" s="14">
        <v>-2771.24</v>
      </c>
      <c r="K22" s="22">
        <v>-2781.54</v>
      </c>
      <c r="L22" s="22">
        <v>-2272.19</v>
      </c>
      <c r="M22" s="1"/>
    </row>
    <row r="23" spans="1:14" x14ac:dyDescent="0.35">
      <c r="A23" s="2" t="s">
        <v>21</v>
      </c>
      <c r="B23" s="14">
        <v>-14604.7</v>
      </c>
      <c r="C23" s="14">
        <v>-61158.36</v>
      </c>
      <c r="D23" s="14">
        <v>-13500</v>
      </c>
      <c r="E23" s="1"/>
      <c r="F23" s="1"/>
      <c r="G23" s="1"/>
      <c r="H23" s="1"/>
      <c r="I23" s="1"/>
      <c r="J23" s="1">
        <v>-688.57</v>
      </c>
      <c r="K23" s="1"/>
      <c r="L23" s="1"/>
      <c r="M23" s="1"/>
    </row>
    <row r="24" spans="1:14" x14ac:dyDescent="0.35">
      <c r="A24" s="2" t="s">
        <v>30</v>
      </c>
      <c r="B24" s="9">
        <f>SUM(B19:B23)</f>
        <v>33923.319999999992</v>
      </c>
      <c r="C24" s="9">
        <f t="shared" ref="C24:H24" si="2">SUM(C19:C23)</f>
        <v>-45804.61</v>
      </c>
      <c r="D24" s="9">
        <f t="shared" si="2"/>
        <v>570.31000000000313</v>
      </c>
      <c r="E24" s="9">
        <f t="shared" si="2"/>
        <v>14960.670000000002</v>
      </c>
      <c r="F24" s="9">
        <f t="shared" si="2"/>
        <v>15088.51</v>
      </c>
      <c r="G24" s="9">
        <f t="shared" si="2"/>
        <v>14669.080000000004</v>
      </c>
      <c r="H24" s="9">
        <f t="shared" si="2"/>
        <v>45418.439999999995</v>
      </c>
      <c r="I24" s="9">
        <v>17484.849999999999</v>
      </c>
      <c r="J24" s="9">
        <f>SUM(J19:J23)</f>
        <v>54570.04</v>
      </c>
      <c r="K24" s="9">
        <f>SUM(K19:K23)</f>
        <v>55464.53</v>
      </c>
      <c r="L24" s="9">
        <f>SUM(L19:L23)</f>
        <v>48792.2</v>
      </c>
      <c r="M24" s="1"/>
    </row>
  </sheetData>
  <mergeCells count="2">
    <mergeCell ref="B1:M1"/>
    <mergeCell ref="B9:M9"/>
  </mergeCells>
  <pageMargins left="0.7" right="0.7" top="0.75" bottom="0.75" header="0.3" footer="0.3"/>
  <pageSetup paperSize="9" orientation="portrait" r:id="rId1"/>
  <customProperties>
    <customPr name="EpmWorksheetKeyString_GUID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2026-03-09T06:35:28Z</dcterms:modified>
  <cp:category/>
  <cp:contentStatus/>
</cp:coreProperties>
</file>