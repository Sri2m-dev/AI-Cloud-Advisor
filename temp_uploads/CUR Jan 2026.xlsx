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rikanthMudaliar\Documents\"/>
    </mc:Choice>
  </mc:AlternateContent>
  <xr:revisionPtr revIDLastSave="0" documentId="13_ncr:1_{CA229E9A-B997-4483-91F1-610DFBE917E0}" xr6:coauthVersionLast="47" xr6:coauthVersionMax="47" xr10:uidLastSave="{00000000-0000-0000-0000-000000000000}"/>
  <bookViews>
    <workbookView xWindow="-110" yWindow="-110" windowWidth="19420" windowHeight="11500" xr2:uid="{AEFBAF51-6730-4B46-B152-E407308A7815}"/>
  </bookViews>
  <sheets>
    <sheet name="12345678" sheetId="1" r:id="rId1"/>
  </sheets>
  <definedNames>
    <definedName name="_xlnm._FilterDatabase" localSheetId="0" hidden="1">'12345678'!$A$5:$J$5</definedName>
  </definedName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9" i="1" l="1"/>
  <c r="J189" i="1" s="1"/>
  <c r="I188" i="1"/>
  <c r="J188" i="1" s="1"/>
  <c r="I187" i="1"/>
  <c r="J187" i="1" s="1"/>
  <c r="I186" i="1"/>
  <c r="J186" i="1" s="1"/>
  <c r="I185" i="1"/>
  <c r="J185" i="1" s="1"/>
  <c r="I184" i="1"/>
  <c r="J184" i="1" s="1"/>
  <c r="I183" i="1"/>
  <c r="J183" i="1" s="1"/>
  <c r="J182" i="1"/>
  <c r="I182" i="1"/>
  <c r="I181" i="1"/>
  <c r="J181" i="1" s="1"/>
  <c r="I180" i="1"/>
  <c r="J180" i="1" s="1"/>
  <c r="I179" i="1"/>
  <c r="J179" i="1" s="1"/>
  <c r="I178" i="1"/>
  <c r="J178" i="1" s="1"/>
  <c r="I177" i="1"/>
  <c r="J177" i="1" s="1"/>
  <c r="I176" i="1"/>
  <c r="J176" i="1" s="1"/>
  <c r="I175" i="1"/>
  <c r="J175" i="1" s="1"/>
  <c r="I174" i="1"/>
  <c r="J174" i="1" s="1"/>
  <c r="J173" i="1"/>
  <c r="I172" i="1"/>
  <c r="J172" i="1" s="1"/>
  <c r="J171" i="1"/>
  <c r="I171" i="1"/>
  <c r="I170" i="1"/>
  <c r="J170" i="1" s="1"/>
  <c r="J169" i="1"/>
  <c r="I169" i="1"/>
  <c r="I168" i="1"/>
  <c r="J168" i="1" s="1"/>
  <c r="I167" i="1"/>
  <c r="J167" i="1" s="1"/>
  <c r="I166" i="1"/>
  <c r="J166" i="1" s="1"/>
  <c r="I165" i="1"/>
  <c r="J165" i="1" s="1"/>
  <c r="I164" i="1"/>
  <c r="J164" i="1" s="1"/>
  <c r="I163" i="1"/>
  <c r="J163" i="1" s="1"/>
  <c r="I162" i="1"/>
  <c r="J162" i="1" s="1"/>
  <c r="I161" i="1"/>
  <c r="J161" i="1" s="1"/>
  <c r="J160" i="1"/>
  <c r="I160" i="1"/>
  <c r="I159" i="1"/>
  <c r="J159" i="1" s="1"/>
  <c r="J158" i="1"/>
  <c r="I158" i="1"/>
  <c r="I157" i="1"/>
  <c r="J157" i="1" s="1"/>
  <c r="I156" i="1"/>
  <c r="J156" i="1" s="1"/>
  <c r="I155" i="1"/>
  <c r="J155" i="1" s="1"/>
  <c r="I154" i="1"/>
  <c r="J154" i="1" s="1"/>
  <c r="I153" i="1"/>
  <c r="J153" i="1" s="1"/>
  <c r="I152" i="1"/>
  <c r="J152" i="1" s="1"/>
  <c r="I151" i="1"/>
  <c r="J151" i="1" s="1"/>
  <c r="J150" i="1"/>
  <c r="I150" i="1"/>
  <c r="J149" i="1"/>
  <c r="I149" i="1"/>
  <c r="I148" i="1"/>
  <c r="J148" i="1" s="1"/>
  <c r="J147" i="1"/>
  <c r="I147" i="1"/>
  <c r="I146" i="1"/>
  <c r="J146" i="1" s="1"/>
  <c r="I145" i="1"/>
  <c r="J145" i="1" s="1"/>
  <c r="I144" i="1"/>
  <c r="J144" i="1" s="1"/>
  <c r="I143" i="1"/>
  <c r="J143" i="1" s="1"/>
  <c r="I142" i="1"/>
  <c r="J142" i="1" s="1"/>
  <c r="I141" i="1"/>
  <c r="J141" i="1" s="1"/>
  <c r="I140" i="1"/>
  <c r="J140" i="1" s="1"/>
  <c r="I139" i="1"/>
  <c r="J139" i="1" s="1"/>
  <c r="J138" i="1"/>
  <c r="I138" i="1"/>
  <c r="I137" i="1"/>
  <c r="J137" i="1" s="1"/>
  <c r="J136" i="1"/>
  <c r="I136" i="1"/>
  <c r="I135" i="1"/>
  <c r="J135" i="1" s="1"/>
  <c r="I134" i="1"/>
  <c r="J134" i="1" s="1"/>
  <c r="I133" i="1"/>
  <c r="J133" i="1" s="1"/>
  <c r="I132" i="1"/>
  <c r="J132" i="1" s="1"/>
  <c r="I131" i="1"/>
  <c r="J131" i="1" s="1"/>
  <c r="I130" i="1"/>
  <c r="J130" i="1" s="1"/>
  <c r="I129" i="1"/>
  <c r="J129" i="1" s="1"/>
  <c r="I128" i="1"/>
  <c r="J128" i="1" s="1"/>
  <c r="J127" i="1"/>
  <c r="I127" i="1"/>
  <c r="I126" i="1"/>
  <c r="J126" i="1" s="1"/>
  <c r="J125" i="1"/>
  <c r="I125" i="1"/>
  <c r="I124" i="1"/>
  <c r="J124" i="1" s="1"/>
  <c r="I123" i="1"/>
  <c r="J123" i="1" s="1"/>
  <c r="I122" i="1"/>
  <c r="J122" i="1" s="1"/>
  <c r="I121" i="1"/>
  <c r="J121" i="1" s="1"/>
  <c r="I120" i="1"/>
  <c r="J120" i="1" s="1"/>
  <c r="I119" i="1"/>
  <c r="J119" i="1" s="1"/>
  <c r="I118" i="1"/>
  <c r="J118" i="1" s="1"/>
  <c r="I117" i="1"/>
  <c r="J117" i="1" s="1"/>
  <c r="J116" i="1"/>
  <c r="I116" i="1"/>
  <c r="I115" i="1"/>
  <c r="J115" i="1" s="1"/>
  <c r="J114" i="1"/>
  <c r="I114" i="1"/>
  <c r="I113" i="1"/>
  <c r="J113" i="1" s="1"/>
  <c r="I112" i="1"/>
  <c r="J112" i="1" s="1"/>
  <c r="I111" i="1"/>
  <c r="J111" i="1" s="1"/>
  <c r="I110" i="1"/>
  <c r="J110" i="1" s="1"/>
  <c r="I109" i="1"/>
  <c r="J109" i="1" s="1"/>
  <c r="I108" i="1"/>
  <c r="J108" i="1" s="1"/>
  <c r="I107" i="1"/>
  <c r="J107" i="1" s="1"/>
  <c r="I106" i="1"/>
  <c r="J106" i="1" s="1"/>
  <c r="J105" i="1"/>
  <c r="I105" i="1"/>
  <c r="I104" i="1"/>
  <c r="J104" i="1" s="1"/>
  <c r="J103" i="1"/>
  <c r="I103" i="1"/>
  <c r="I102" i="1"/>
  <c r="J102" i="1" s="1"/>
  <c r="I101" i="1"/>
  <c r="J101" i="1" s="1"/>
  <c r="I100" i="1"/>
  <c r="J100" i="1" s="1"/>
  <c r="I99" i="1"/>
  <c r="J99" i="1" s="1"/>
  <c r="I98" i="1"/>
  <c r="J98" i="1" s="1"/>
  <c r="I97" i="1"/>
  <c r="J97" i="1" s="1"/>
  <c r="I96" i="1"/>
  <c r="J96" i="1" s="1"/>
  <c r="I95" i="1"/>
  <c r="J95" i="1" s="1"/>
  <c r="J94" i="1"/>
  <c r="I94" i="1"/>
  <c r="J93" i="1"/>
  <c r="I93" i="1"/>
  <c r="J92" i="1"/>
  <c r="I92" i="1"/>
  <c r="I91" i="1"/>
  <c r="J91" i="1" s="1"/>
  <c r="I90" i="1"/>
  <c r="J90" i="1" s="1"/>
  <c r="I89" i="1"/>
  <c r="J89" i="1" s="1"/>
  <c r="I88" i="1"/>
  <c r="J88" i="1" s="1"/>
  <c r="I87" i="1"/>
  <c r="J87" i="1" s="1"/>
  <c r="I86" i="1"/>
  <c r="J86" i="1" s="1"/>
  <c r="I85" i="1"/>
  <c r="J85" i="1" s="1"/>
  <c r="I84" i="1"/>
  <c r="J84" i="1" s="1"/>
  <c r="J83" i="1"/>
  <c r="I83" i="1"/>
  <c r="I82" i="1"/>
  <c r="J82" i="1" s="1"/>
  <c r="J81" i="1"/>
  <c r="I81" i="1"/>
  <c r="I80" i="1"/>
  <c r="J80" i="1" s="1"/>
  <c r="I79" i="1"/>
  <c r="J79" i="1" s="1"/>
  <c r="I78" i="1"/>
  <c r="J78" i="1" s="1"/>
  <c r="I77" i="1"/>
  <c r="J77" i="1" s="1"/>
  <c r="I76" i="1"/>
  <c r="J76" i="1" s="1"/>
  <c r="I75" i="1"/>
  <c r="J75" i="1" s="1"/>
  <c r="I74" i="1"/>
  <c r="J74" i="1" s="1"/>
  <c r="J73" i="1"/>
  <c r="I73" i="1"/>
  <c r="J72" i="1"/>
  <c r="I72" i="1"/>
  <c r="I71" i="1"/>
  <c r="J71" i="1" s="1"/>
  <c r="J70" i="1"/>
  <c r="I70" i="1"/>
  <c r="I69" i="1"/>
  <c r="J69" i="1" s="1"/>
  <c r="I68" i="1"/>
  <c r="J68" i="1" s="1"/>
  <c r="I67" i="1"/>
  <c r="J67" i="1" s="1"/>
  <c r="I66" i="1"/>
  <c r="J66" i="1" s="1"/>
  <c r="I65" i="1"/>
  <c r="J65" i="1" s="1"/>
  <c r="I64" i="1"/>
  <c r="J64" i="1" s="1"/>
  <c r="I63" i="1"/>
  <c r="J63" i="1" s="1"/>
  <c r="I62" i="1"/>
  <c r="J62" i="1" s="1"/>
  <c r="J61" i="1"/>
  <c r="I61" i="1"/>
  <c r="I60" i="1"/>
  <c r="J60" i="1" s="1"/>
  <c r="J59" i="1"/>
  <c r="I59" i="1"/>
  <c r="I58" i="1"/>
  <c r="J58" i="1" s="1"/>
  <c r="I57" i="1"/>
  <c r="J57" i="1" s="1"/>
  <c r="I56" i="1"/>
  <c r="J56" i="1" s="1"/>
  <c r="I55" i="1"/>
  <c r="J55" i="1" s="1"/>
  <c r="I54" i="1"/>
  <c r="J54" i="1" s="1"/>
  <c r="I53" i="1"/>
  <c r="J53" i="1" s="1"/>
  <c r="I52" i="1"/>
  <c r="J52" i="1" s="1"/>
  <c r="I51" i="1"/>
  <c r="J51" i="1" s="1"/>
  <c r="J50" i="1"/>
  <c r="I50" i="1"/>
  <c r="I49" i="1"/>
  <c r="J49" i="1" s="1"/>
  <c r="J48" i="1"/>
  <c r="I48" i="1"/>
  <c r="I47" i="1"/>
  <c r="J47" i="1" s="1"/>
  <c r="I46" i="1"/>
  <c r="J46" i="1" s="1"/>
  <c r="I45" i="1"/>
  <c r="J45" i="1" s="1"/>
  <c r="I44" i="1"/>
  <c r="J44" i="1" s="1"/>
  <c r="I43" i="1"/>
  <c r="J43" i="1" s="1"/>
  <c r="I42" i="1"/>
  <c r="J42" i="1" s="1"/>
  <c r="I41" i="1"/>
  <c r="J41" i="1" s="1"/>
  <c r="I40" i="1"/>
  <c r="J40" i="1" s="1"/>
  <c r="J39" i="1"/>
  <c r="I39" i="1"/>
  <c r="I38" i="1"/>
  <c r="J38" i="1" s="1"/>
  <c r="J37" i="1"/>
  <c r="I37" i="1"/>
  <c r="I36" i="1"/>
  <c r="J36" i="1" s="1"/>
  <c r="I35" i="1"/>
  <c r="J35" i="1" s="1"/>
  <c r="I34" i="1"/>
  <c r="J34" i="1" s="1"/>
  <c r="I33" i="1"/>
  <c r="J33" i="1" s="1"/>
  <c r="I32" i="1"/>
  <c r="J32" i="1" s="1"/>
  <c r="I31" i="1"/>
  <c r="J31" i="1" s="1"/>
  <c r="J30" i="1"/>
  <c r="I30" i="1"/>
  <c r="I29" i="1"/>
  <c r="J29" i="1" s="1"/>
  <c r="J28" i="1"/>
  <c r="I28" i="1"/>
  <c r="I27" i="1"/>
  <c r="J27" i="1" s="1"/>
  <c r="J26" i="1"/>
  <c r="I26" i="1"/>
  <c r="I25" i="1"/>
  <c r="J25" i="1" s="1"/>
  <c r="I24" i="1"/>
  <c r="J24" i="1" s="1"/>
  <c r="I23" i="1"/>
  <c r="J23" i="1" s="1"/>
  <c r="I22" i="1"/>
  <c r="J22" i="1" s="1"/>
  <c r="I21" i="1"/>
  <c r="J21" i="1" s="1"/>
  <c r="I20" i="1"/>
  <c r="J20" i="1" s="1"/>
  <c r="I19" i="1"/>
  <c r="J19" i="1" s="1"/>
  <c r="I18" i="1"/>
  <c r="J18" i="1" s="1"/>
  <c r="J17" i="1"/>
  <c r="I17" i="1"/>
  <c r="I16" i="1"/>
  <c r="J16" i="1" s="1"/>
  <c r="J15" i="1"/>
  <c r="I15" i="1"/>
  <c r="I14" i="1"/>
  <c r="J14" i="1" s="1"/>
  <c r="I13" i="1"/>
  <c r="J13" i="1" s="1"/>
  <c r="I12" i="1"/>
  <c r="J12" i="1" s="1"/>
  <c r="I11" i="1"/>
  <c r="J11" i="1" s="1"/>
  <c r="I10" i="1"/>
  <c r="J10" i="1" s="1"/>
  <c r="I9" i="1"/>
  <c r="J9" i="1" s="1"/>
  <c r="I8" i="1"/>
  <c r="J8" i="1" s="1"/>
  <c r="J7" i="1"/>
  <c r="I7" i="1"/>
  <c r="J6" i="1"/>
  <c r="I6" i="1"/>
  <c r="I190" i="1" l="1"/>
  <c r="J190" i="1"/>
</calcChain>
</file>

<file path=xl/sharedStrings.xml><?xml version="1.0" encoding="utf-8"?>
<sst xmlns="http://schemas.openxmlformats.org/spreadsheetml/2006/main" count="979" uniqueCount="301">
  <si>
    <t>Project Name</t>
  </si>
  <si>
    <t>Account Number</t>
  </si>
  <si>
    <t>xxxxxxxx</t>
  </si>
  <si>
    <t>xxxxxx</t>
  </si>
  <si>
    <t>Supporting Document Attached</t>
  </si>
  <si>
    <t>Account Name</t>
  </si>
  <si>
    <t>S.No.</t>
  </si>
  <si>
    <t>Service</t>
  </si>
  <si>
    <t>Sub-Service/Type</t>
  </si>
  <si>
    <t>Region</t>
  </si>
  <si>
    <t>UoM</t>
  </si>
  <si>
    <t>Unit Price - Details</t>
  </si>
  <si>
    <t>Unit Price (USD)</t>
  </si>
  <si>
    <t>Qty/Request</t>
  </si>
  <si>
    <t>Individual Price (USD)</t>
  </si>
  <si>
    <t>Price Per Service (USD)</t>
  </si>
  <si>
    <t>Claude 3 Sonnet (Bedrock Edition)</t>
  </si>
  <si>
    <t>ap-south-1</t>
  </si>
  <si>
    <t>Units</t>
  </si>
  <si>
    <t>Marketplace software usage|ap-south-1|Million Input Tokens</t>
  </si>
  <si>
    <t>Marketplace software usage|ap-south-1|Million Response Tokens</t>
  </si>
  <si>
    <t>Backup</t>
  </si>
  <si>
    <t>GB-month</t>
  </si>
  <si>
    <t>$0.055 per GB-month for warm backup storage for EFS</t>
  </si>
  <si>
    <t>Config</t>
  </si>
  <si>
    <t>APS3-ConfigurationItemRecorded</t>
  </si>
  <si>
    <t>$0.003 per Configuration Item recorded in Asia Pacific (Mumbai) region</t>
  </si>
  <si>
    <t>ConfigRuleEvaluations</t>
  </si>
  <si>
    <t>$0.001 for the first 100,000 evaluations in Asia Pacific (Mumbai) region</t>
  </si>
  <si>
    <t>Cost Explorer</t>
  </si>
  <si>
    <t>us-east-1</t>
  </si>
  <si>
    <t>Request</t>
  </si>
  <si>
    <t>$0.01 per API Request</t>
  </si>
  <si>
    <t>Data Transfer</t>
  </si>
  <si>
    <t>GB</t>
  </si>
  <si>
    <t>$0.010 per GB - regional data transfer - in/out/between EC2 AZs or using elastic IPs or ELB</t>
  </si>
  <si>
    <t>$0.082 per GB - next 100 TB / month data transfer out</t>
  </si>
  <si>
    <t>$0.085 per GB - next 40 TB / month data transfer out</t>
  </si>
  <si>
    <t>$0.1093 per GB - first 10 TB / month data transfer out beyond the global free tier</t>
  </si>
  <si>
    <t/>
  </si>
  <si>
    <t>$0.086 per GB - Asia Pacific (Mumbai) data transfer to US East (Northern Virginia)</t>
  </si>
  <si>
    <t>$0.090 per GB - first 10 TB / month data transfer out beyond the global free tier</t>
  </si>
  <si>
    <t>$0.086 per GB - Asia Pacific (Mumbai) data transfer to Asia Pacific (Hyderabad)</t>
  </si>
  <si>
    <t>Elastic Load Balancing</t>
  </si>
  <si>
    <t>Hrs</t>
  </si>
  <si>
    <t>$0.0239 per Application LoadBalancer-hour (or partial hour)</t>
  </si>
  <si>
    <t>LCU-Hrs</t>
  </si>
  <si>
    <t>$0.006 per used Network load balancer capacity unit-hour (or partial hour)</t>
  </si>
  <si>
    <t>$0.0239per Network LoadBalancer-hour (or partial hour)</t>
  </si>
  <si>
    <t>CloudWatch Events</t>
  </si>
  <si>
    <t>Invocations</t>
  </si>
  <si>
    <t>$1.05 per million scheduled invocations in Asia Pacific (Mumbai)</t>
  </si>
  <si>
    <t>64K-Chunks</t>
  </si>
  <si>
    <t>$1.00 per million EventBridge custom events received in Asia Pacific (Mumbai)</t>
  </si>
  <si>
    <t>Glue</t>
  </si>
  <si>
    <t>DPU-Hour</t>
  </si>
  <si>
    <t>$0.44 per Data Processing Unit-Hour for Glue interactive sessions and job notebooks</t>
  </si>
  <si>
    <t>ap-northeast-1</t>
  </si>
  <si>
    <t>$1 per 1,000,000 requests for Glue Data Catalog request</t>
  </si>
  <si>
    <t>Obj-Month</t>
  </si>
  <si>
    <t>$1 per 100,000 objects per month for Glue Data Catalog storage</t>
  </si>
  <si>
    <t>Lambda</t>
  </si>
  <si>
    <t>GB-Seconds</t>
  </si>
  <si>
    <t>Lambda - Ephemeral Storage - Asia Pacific (Mumbai)</t>
  </si>
  <si>
    <t>Lambda-GB-Second</t>
  </si>
  <si>
    <t>Lambda - Total Compute - Asia Pacific (Mumbai)-Tier-1</t>
  </si>
  <si>
    <t>Lambda - Total Requests - Asia Pacific (Mumbai)</t>
  </si>
  <si>
    <t>Secrets Manager</t>
  </si>
  <si>
    <t>API Requests</t>
  </si>
  <si>
    <t>$0.05 per 10000 API Requests</t>
  </si>
  <si>
    <t>Secrets</t>
  </si>
  <si>
    <t>$0.40 per Secret</t>
  </si>
  <si>
    <t>Security Hub</t>
  </si>
  <si>
    <t>Security Checks</t>
  </si>
  <si>
    <t>100,001 to 400,000 security checks per account per region per month cost USD0.0008 per check</t>
  </si>
  <si>
    <t>Finding Ingestion Events</t>
  </si>
  <si>
    <t>Finding ingestion events above 10,000 events per account per region per month cost USD0.00003 per event</t>
  </si>
  <si>
    <t>Over 500,000 security checks per account per region per month cost USD0.0005 per check</t>
  </si>
  <si>
    <t>The first 100,000 security checks per account per region per month cost USD0.001 per check</t>
  </si>
  <si>
    <t>X-Ray</t>
  </si>
  <si>
    <t>traces</t>
  </si>
  <si>
    <t>X-Ray - Total Traces Accessed - Asia Pacific (Mumbai)</t>
  </si>
  <si>
    <t>API Gateway</t>
  </si>
  <si>
    <t>Requests</t>
  </si>
  <si>
    <t>$2.80/million requests - next 667 million requests/month</t>
  </si>
  <si>
    <t>$3.50/million requests - first 333 million requests/month</t>
  </si>
  <si>
    <t>Athena</t>
  </si>
  <si>
    <t>Terabytes</t>
  </si>
  <si>
    <t>5.00 USD per Terabytes for DataScannedInTB in Asia Pacific (Mumbai)</t>
  </si>
  <si>
    <t>AmazonCloudWatch</t>
  </si>
  <si>
    <t>$0.15 per GB of Application Signals data ingested for over 30TB - Asia Pacific (Mumbai)</t>
  </si>
  <si>
    <t>$0.20 per GB of Application Signals data ingested for the next 20TB - Asia Pacific (Mumbai)</t>
  </si>
  <si>
    <t>$0.35 per GB of Application Signals data ingested for the first 10TB - Asia Pacific (Mumbai)</t>
  </si>
  <si>
    <t>Signals</t>
  </si>
  <si>
    <t>$0.30 per million Application Signals for over 1 billion Application Signals - Asia Pacific (Mumbai)</t>
  </si>
  <si>
    <t>$0.75 per million Application Signals for the next 900 million Application Signals - Asia Pacific (Mumbai)</t>
  </si>
  <si>
    <t>$1.50 per million Application Signals for the first 100 million Application Signals - Asia Pacific (Mumbai)</t>
  </si>
  <si>
    <t>vCPU-Hours</t>
  </si>
  <si>
    <t>$0.0125 per vCPU-Hour monitored by Database Insights for Aurora-PostgreSQL provisioned databases in Asia Pacific (Mumbai)</t>
  </si>
  <si>
    <t>Dashboards</t>
  </si>
  <si>
    <t>$3.00 per Dashboard per Month</t>
  </si>
  <si>
    <t>$3.00 per Dashboard per Month (&gt;50 metrics)</t>
  </si>
  <si>
    <t>$0.01 per 1,000 requests</t>
  </si>
  <si>
    <t>GB-Mo</t>
  </si>
  <si>
    <t>$0.03 per GB-mo of log storage - Asia Pacific (Mumbai)</t>
  </si>
  <si>
    <t>$0.101 per GB for the next 20TB of vended log data delivered to S3 per month in Asia Pacific (Mumbai)</t>
  </si>
  <si>
    <t>$0.201 per GB for the next 20TB of vended log data delivered to S3 per month in Asia Pacific (Mumbai)</t>
  </si>
  <si>
    <t>$0.335 per GB for the first 10TB of vended log data delivered to S3 per month in Asia Pacific (Mumbai)</t>
  </si>
  <si>
    <t>Metrics</t>
  </si>
  <si>
    <t>$0.30 per metric-month for the first 10,000 metrics - Asia Pacific (Mumbai)</t>
  </si>
  <si>
    <t>Observations</t>
  </si>
  <si>
    <t>$0.10 per M observations ingested for over 4B observations - Asia Pacific (Mumbai)</t>
  </si>
  <si>
    <t>$0.18 per M observations ingested for the next 3B observations - Asia Pacific (Mumbai)</t>
  </si>
  <si>
    <t>$0.21 per M observations ingested for the first 1B observations - Asia Pacific (Mumbai)</t>
  </si>
  <si>
    <t>$0.335 per GB of vended logs ingested in Standard log class for the next 20TB - Asia Pacific (Mumbai)</t>
  </si>
  <si>
    <t>$0.67 per GB custom log data ingested in Standard log class - Asia Pacific (Mumbai)</t>
  </si>
  <si>
    <t>$0.67 per GB of vended logs ingested in Standard log class for the first 10TB - Asia Pacific (Mumbai)</t>
  </si>
  <si>
    <t>$0.0067 per GB log data scanned by CloudWatch Logs Insights queries - Asia Pacific (Mumbai)</t>
  </si>
  <si>
    <t>Alarms</t>
  </si>
  <si>
    <t>$0.10 per alarm metric month (standard resolution) - Asia Pacific (Mumbai)</t>
  </si>
  <si>
    <t>spans indexed</t>
  </si>
  <si>
    <t>$0.00000075 per spans indexed for APS3-XRay-Spans-Indexed in Asia Pacific (Mumbai)</t>
  </si>
  <si>
    <t>Runs</t>
  </si>
  <si>
    <t>$0.0017 per canary run per month - Asia Pacific (Mumbai)</t>
  </si>
  <si>
    <t>Cognito</t>
  </si>
  <si>
    <t>CognitoUserPoolsRPSMo</t>
  </si>
  <si>
    <t>USD 20.00 per RPS-Month incremental RPS for UserAuthentication (full month) for users in Asia Pacific (Mumbai)</t>
  </si>
  <si>
    <t>USD 20.00 per RPS-Month incremental RPS for UserRead (full month) for users in Asia Pacific (Mumbai)</t>
  </si>
  <si>
    <t>USD 20.00 per RPS-Month incremental RPS for UserToken (full month) for users in Asia Pacific (Mumbai)</t>
  </si>
  <si>
    <t>CognitoUserPools-M2MTokens</t>
  </si>
  <si>
    <t>USD 0.001125 per client credential flow (M2M) token request in tier 3  in Asia Pacific (Mumbai)</t>
  </si>
  <si>
    <t>USD 0.0015 per client credential flow (M2M) token request in tier 2  in Asia Pacific (Mumbai)</t>
  </si>
  <si>
    <t>USD 0.00225 per client credential flow (M2M) token request in tier 1  in Asia Pacific (Mumbai)</t>
  </si>
  <si>
    <t>DevOps Guru</t>
  </si>
  <si>
    <t>usagehours</t>
  </si>
  <si>
    <t>$0.0042 per Resource per Hour for Asia Pacific (Mumbai)-RDS-DBInstance-GroupB</t>
  </si>
  <si>
    <t>Elastic Compute Cloud</t>
  </si>
  <si>
    <t>$0.05 per GB-Month of snapshot data stored - Asia Pacific (Mumbai)</t>
  </si>
  <si>
    <t>$0.114 per GB-month of General Purpose SSD (gp2) provisioned storage - Asia Pacific (Mumbai)</t>
  </si>
  <si>
    <t>IOPS-Mo</t>
  </si>
  <si>
    <t>$0.0057 per provisioned IOPS-month of gp3 - Asia Pacific (Mumbai)</t>
  </si>
  <si>
    <t>GiBps-mo</t>
  </si>
  <si>
    <t>$0.0456 per provisioned MiBps-month of gp3 - Asia Pacific (Mumbai)</t>
  </si>
  <si>
    <t>$0.0912 per GB-month of General Purpose (gp3) provisioned storage - Asia Pacific (Mumbai)</t>
  </si>
  <si>
    <t>ap-south-1a</t>
  </si>
  <si>
    <t>$0.3443 per On Demand Windows t3a.2xlarge Instance Hour</t>
  </si>
  <si>
    <t>$0.708 per On Demand Windows c5.2xlarge Instance Hour</t>
  </si>
  <si>
    <t>$0.772 per On Demand Windows m5.2xlarge Instance Hour</t>
  </si>
  <si>
    <t>$0.888 per On Demand Windows r5.2xlarge Instance Hour</t>
  </si>
  <si>
    <t>$5.232 per On Demand Windows r6a.16xlarge Instance Hour</t>
  </si>
  <si>
    <t>$5.328 per On Demand Windows r5.12xlarge Instance Hour</t>
  </si>
  <si>
    <t>$7.848 per On Demand Windows r6a.24xlarge Instance Hour</t>
  </si>
  <si>
    <t>$1.205 per On Demand Red Hat Enterprise Linux with HA m5.4xlarge Instance Hour</t>
  </si>
  <si>
    <t>$0.0124 per On Demand Linux t2.micro Instance Hour</t>
  </si>
  <si>
    <t>$0.3408 per On Demand Linux c6g.4xlarge Instance Hour</t>
  </si>
  <si>
    <t>$0.404 per On Demand Linux m5.2xlarge Instance Hour</t>
  </si>
  <si>
    <t>$0.52 per On Demand Linux r5.2xlarge Instance Hour</t>
  </si>
  <si>
    <t>$0.6816 per On Demand Linux c6g.8xlarge Instance Hour</t>
  </si>
  <si>
    <t>$0.68 per On Demand Linux c5.4xlarge Instance Hour</t>
  </si>
  <si>
    <t>$0.808 per On Demand Linux m5.4xlarge Instance Hour</t>
  </si>
  <si>
    <t>$1.04 per On Demand Linux r5.4xlarge Instance Hour</t>
  </si>
  <si>
    <t>$3.232 per On Demand Linux m5.16xlarge Instance Hour</t>
  </si>
  <si>
    <t>ap-south-1b</t>
  </si>
  <si>
    <t>$0.101 per On Demand Linux m6i.large Instance Hour</t>
  </si>
  <si>
    <t>ap-south-1c</t>
  </si>
  <si>
    <t>$0.202 per On Demand Linux m5.xlarge Instance Hour</t>
  </si>
  <si>
    <t>EC2 Container Registry (ECR)</t>
  </si>
  <si>
    <t>$0.10 per GB-month of data storage</t>
  </si>
  <si>
    <t>Elastic File System</t>
  </si>
  <si>
    <t>USD $0.01 per GB-Mo for Archive usage from small file rounding (&lt;128 KB) (APS3)</t>
  </si>
  <si>
    <t>USD $0.02 per GB-Mo for Infrequent Access usage from small file rounding (&lt;128 KB) with Elastic Throughput (APS3)</t>
  </si>
  <si>
    <t>USD $0.033 per GB-Mo for Archive reads (APS3)</t>
  </si>
  <si>
    <t>USD $0.03 per GB for Elastic Throughput reads (APS3)</t>
  </si>
  <si>
    <t>USD $0.01 per GB-Mo for Archive storage (APS3)</t>
  </si>
  <si>
    <t>USD $0.02 per GB-Mo for Infrequent Access storage with Elastic Throughput (APS3)</t>
  </si>
  <si>
    <t>USD $0.33 per GB-Mo for Standard storage (APS3)</t>
  </si>
  <si>
    <t>USD $0.011 per GB for Infrequent Access writes (APS3)</t>
  </si>
  <si>
    <t>USD $0.07 per GB for Elastic Throughput writes (APS3)</t>
  </si>
  <si>
    <t>Elastic Container Service for Kubernetes</t>
  </si>
  <si>
    <t>Hours</t>
  </si>
  <si>
    <t>EKS cluster usage in Asia Pacific (Mumbai)</t>
  </si>
  <si>
    <t>EKS extended support usage in Asia Pacific (Mumbai)</t>
  </si>
  <si>
    <t>ElastiCache</t>
  </si>
  <si>
    <t>$0.844  per Memory optimized r6g.2xlarge node hour running Redis</t>
  </si>
  <si>
    <t>$0.889 per Enhanced High memory R5.2xlarge node hour running Redis</t>
  </si>
  <si>
    <t>$1.688  per Memory optimized r6g.4xlarge node hour running Redis</t>
  </si>
  <si>
    <t>$1.778 per Enhanced High memory R5.4xlarge node hour running Redis</t>
  </si>
  <si>
    <t>$0.085 per additional GB-month of backup storage exceeding free allocation running Redis</t>
  </si>
  <si>
    <t>GuardDuty</t>
  </si>
  <si>
    <t>Events</t>
  </si>
  <si>
    <t>$0.0000005 per S3 Data Event for the next 4500000000 events / month analyzed in Asia Pacific (Mumbai) region</t>
  </si>
  <si>
    <t>$0.000001 per S3 Data Event for the first 500000000 events / month analyzed in Asia Pacific (Mumbai) region</t>
  </si>
  <si>
    <t>$0.0000044 per CloudTrail event analyzed in Asia Pacific (Mumbai) region</t>
  </si>
  <si>
    <t>$0.000271 per request for above 1000 S3 PUT requests / month analyzed in Asia Pacific (Mumbai) region</t>
  </si>
  <si>
    <t>$0.1125 per GB - for above 1GB for Malware Protection S3 Data Scanned in Asia Pacific (Mumbai)</t>
  </si>
  <si>
    <t>$0.55 per GB for the next 2000 GB / month of data analyzed Asia Pacific (Mumbai) region</t>
  </si>
  <si>
    <t>$1.10 per GB for the first 500 GB / month of data analyzed Asia Pacific (Mumbai) region</t>
  </si>
  <si>
    <t>Inspector</t>
  </si>
  <si>
    <t>Hourly</t>
  </si>
  <si>
    <t>$0.0005 per Hourly for Lambda-Standard-Scanning in Asia Pacific (Mumbai)</t>
  </si>
  <si>
    <t>Instance-hrs</t>
  </si>
  <si>
    <t>$0.0021 per Instance-hrs for EC2-Scanning in Asia Pacific (Mumbai)</t>
  </si>
  <si>
    <t>Resource-assessment</t>
  </si>
  <si>
    <t>$0.01 per Resource-assessment for container-image-re-scan in Asia Pacific (Mumbai)</t>
  </si>
  <si>
    <t>$0.11 per Resource-assessment for container-image-initial-scan in Asia Pacific (Mumbai)</t>
  </si>
  <si>
    <t>Location Service</t>
  </si>
  <si>
    <t>API Request</t>
  </si>
  <si>
    <t>$0.01 per thousand resource list requests in Asia Pacific (Mumbai)</t>
  </si>
  <si>
    <t>Managed Streaming for Apache Kafka</t>
  </si>
  <si>
    <t>hours</t>
  </si>
  <si>
    <t>$0.221 per broker hour for Kafka.m5.large in Asia Pacific (Mumbai)</t>
  </si>
  <si>
    <t>$1.768 per broker hour for Kafka.m5.4xlarge in Asia Pacific (Mumbai)</t>
  </si>
  <si>
    <t>$0.114 per GB-Mo for storage in Asia Pacific (Mumbai)</t>
  </si>
  <si>
    <t>QuickSight</t>
  </si>
  <si>
    <t>Month</t>
  </si>
  <si>
    <t>USD250.0 per month fee for Q in QuickSight for Asia Pacific (Mumbai) (ap-south-1)</t>
  </si>
  <si>
    <t>User</t>
  </si>
  <si>
    <t>QuickSight Enterprise Edition User</t>
  </si>
  <si>
    <t>Relational Database Service</t>
  </si>
  <si>
    <t>USD 0.023 per GB-month of backup storage exceeding free allocation for Aurora MySQL</t>
  </si>
  <si>
    <t>USD 0.66 per RDS db.r5.xlarge Single-AZ instance hour (or partial hour) running Aurora MySQL</t>
  </si>
  <si>
    <t>USD 2.64 per RDS db.r5.4xlarge Single-AZ instance hour (or partial hour) running Aurora MySQL</t>
  </si>
  <si>
    <t>USD 0.023 per GB-month of backup storage exceeding free allocation for Aurora PostgreSQL</t>
  </si>
  <si>
    <t>USD 0.11 per GB-month of consumed storage for Aurora PostgreSQL</t>
  </si>
  <si>
    <t>IOs</t>
  </si>
  <si>
    <t>USD 0.22 per 1 million I/O requests for Aurora PostgreSQL</t>
  </si>
  <si>
    <t>USD 0.248 per GB-month of I/O-Optimized consumed storage (Aurora PostgreSQL)</t>
  </si>
  <si>
    <t>USD 0.66 per RDS db.r5.xlarge Single-AZ instance hour (or partial hour) running Aurora PostgreSQL</t>
  </si>
  <si>
    <t>USD 1.32 per RDS db.r5.2xlarge Single-AZ instance hour (or partial hour) running Aurora PostgreSQL</t>
  </si>
  <si>
    <t>USD 1.716 per RDS db.r5.2xlarge IO-optimized Single-AZ instance hour (or partial hour) running Aurora PostgreSQL</t>
  </si>
  <si>
    <t>USD 10.560 per RDS db.r5.16xlarge Single-AZ instance hour (or partial hour) running Aurora PostgreSQL</t>
  </si>
  <si>
    <t>USD 2.64 per RDS db.r5.4xlarge Single-AZ instance hour (or partial hour) running Aurora PostgreSQL</t>
  </si>
  <si>
    <t>USD 3.432 per RDS db.r5.4xlarge IO-optimized Single-AZ instance hour (or partial hour) running Aurora PostgreSQL</t>
  </si>
  <si>
    <t>USD 5.280 per RDS db.r5.8xlarge Single-AZ instance hour (or partial hour) running Aurora PostgreSQL</t>
  </si>
  <si>
    <t>USD 6.8640 per RDS db.r5.8xlarge IO-optimized Single-AZ instance hour (or partial hour) running Aurora PostgreSQL</t>
  </si>
  <si>
    <t>USD 0.110 per GB-month of consumed storage for Aurora MySQL</t>
  </si>
  <si>
    <t>USD 0.220 per 1 million I/O requests for Aurora MySQL</t>
  </si>
  <si>
    <t>Redshift</t>
  </si>
  <si>
    <t>Storage charges with Redshift managed storage</t>
  </si>
  <si>
    <t>$1.235 per Redshift RA3.XLPLUS Compute Node-hour</t>
  </si>
  <si>
    <t>Simple Storage Service</t>
  </si>
  <si>
    <t>$0.005 per 1,000 PUT, COPY, POST, or LIST requests</t>
  </si>
  <si>
    <t>S3 Glacier Deep Archive</t>
  </si>
  <si>
    <t>$0.002 per GB-Month for storage used in Glacier Deep Archive in Asia Pacific (Mumbai)</t>
  </si>
  <si>
    <t>$0.023 per GB - storage used / month over 500 TB</t>
  </si>
  <si>
    <t>$0.024 per GB - next 450 TB / month of storage used</t>
  </si>
  <si>
    <t>$0.002 per GB-Month prorated for objects deleted before 180 days in Glacier Deep Archive in Asia Pacific (Mumbai)</t>
  </si>
  <si>
    <t>$0.005 per GB-Month prorated for objects deleted or overwritten before 90 days in Glacier Instant Retrieval</t>
  </si>
  <si>
    <t>$0.03 per 1,000 GetAGGrant requests for S3 Access Grants</t>
  </si>
  <si>
    <t>$0.03 per 1,000 GetAGLocation requests for S3 Access Grants</t>
  </si>
  <si>
    <t>$0.03 per 1,000 GetAG requests for S3 Access Grants</t>
  </si>
  <si>
    <t>$0.004 per 10,000 GET and all other requests</t>
  </si>
  <si>
    <t>$0.03 per GB - flat fee for all bytes retrieved in Glacier Instant Retrieval</t>
  </si>
  <si>
    <t>$0.1 per 10,000 GET and all other requests to Glacier Instant Retrieval</t>
  </si>
  <si>
    <t>$0.005 per GB-Month of storage used in Glacier Instant Retrieval</t>
  </si>
  <si>
    <t>$0.004 per GB-Month of storage used in Glacier Instant Retrieval</t>
  </si>
  <si>
    <t>$0.03 per 1,000 ListAGGrants requests for S3 Access Grants</t>
  </si>
  <si>
    <t>$0.03 per 1,000 ListAGLocations requests for S3 Access Grants</t>
  </si>
  <si>
    <t>$0.03 per 1,000 ListAGs requests for S3 Access Grants</t>
  </si>
  <si>
    <t>$0.005 per 1,000 PUT Requests/COPY/POST or LIST Requests to S3 Table Buckets</t>
  </si>
  <si>
    <t>$0.06 per 1,000 Tier1 Vectors API Requests</t>
  </si>
  <si>
    <t>$0.055 per 1,000 Tier1 Vectors API Requests</t>
  </si>
  <si>
    <t>Tag-Mo</t>
  </si>
  <si>
    <t xml:space="preserve">$0.0065 per 10,000 Tags per month </t>
  </si>
  <si>
    <t>$0.07 per 1,000 Lifecycle requests to Glacier Deep Archive in Asia Pacific (Mumbai)</t>
  </si>
  <si>
    <t>$0.02 per 1,000 transitions to Glacier Instant Retrieval</t>
  </si>
  <si>
    <t>$0.025 per GB - first 50 TB / month of storage used</t>
  </si>
  <si>
    <t>$0.023 per GB - first 50 TB / month of storage used</t>
  </si>
  <si>
    <t>Objects</t>
  </si>
  <si>
    <t>$0.20 per MM objects per monthfor the first 25B objects for Storage Lens to Asia Pacific (Mumbai)</t>
  </si>
  <si>
    <t>Simple Notification Service</t>
  </si>
  <si>
    <t>$0.50 per 1,000,000 SNS API Requests per month thereafter</t>
  </si>
  <si>
    <t>Notifications</t>
  </si>
  <si>
    <t>$2.00 per 100,000 SNS Email/Email-JSON Notifications thereafter</t>
  </si>
  <si>
    <t>SageMaker</t>
  </si>
  <si>
    <t>$0.16 per GB-Mo of Notebook Instance ML storage in ap-south-1</t>
  </si>
  <si>
    <t>$0.12768 per GB-Mo of provisioned ML storage</t>
  </si>
  <si>
    <t>$0.054 per Notebook ml.t3.medium hour in Asia Pacific (Mumbai)</t>
  </si>
  <si>
    <t>$1.9 per Hrs for Canvas:Workspace Instance (Session-Hrs):RunInstance in Asia Pacific (Mumbai)</t>
  </si>
  <si>
    <t>Textract</t>
  </si>
  <si>
    <t>Pages</t>
  </si>
  <si>
    <t>USD 0.60 per 1,000 Pages for SyncTextPagesProcessed in Asia Pacific (Mumbai):1M+ pages tier</t>
  </si>
  <si>
    <t>USD 1.50 per 1,000 Pages for SyncTextPagesProcessed in Asia Pacific (Mumbai): 0-1M pages tier</t>
  </si>
  <si>
    <t>Virtual Private Cloud</t>
  </si>
  <si>
    <t>GigaBytes</t>
  </si>
  <si>
    <t>$0.02 per GB Data Processed by Transit Gateway VPC Attachment</t>
  </si>
  <si>
    <t>hour</t>
  </si>
  <si>
    <t>$0.07 per Transit Gateway VPC Attachment Hour</t>
  </si>
  <si>
    <t>$0.013 per VPC Endpoint Hour</t>
  </si>
  <si>
    <t>Key Management Service</t>
  </si>
  <si>
    <t>Keys</t>
  </si>
  <si>
    <t>$1 per customer managed KMS key version in Asia Pacific (Mumbai)</t>
  </si>
  <si>
    <t>$0.03 per 10000 KMS requests in Asia Pacific (Mumbai)</t>
  </si>
  <si>
    <t>ap-south-2</t>
  </si>
  <si>
    <t>$0.03 per 10000 KMS requests in Asia Pacific (Hyderabad)</t>
  </si>
  <si>
    <t>WAF</t>
  </si>
  <si>
    <t>$0.60 per million Request for Request Processed Tier0 in Asia Pacific (Mumbai)</t>
  </si>
  <si>
    <t>Total</t>
  </si>
  <si>
    <t>Row Labels</t>
  </si>
  <si>
    <t>Sum of Price Per Service (USD)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</si>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</sst>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-[$$-409]* #,##0.00_ ;_-[$$-409]* \-#,##0.00\ ;_-[$$-409]* &quot;-&quot;??_ ;_-@_ "/>
    <numFmt numFmtId="165" formatCode="_(* #,##0.00_);_(* \(#,##0.00\);_(* &quot;-&quot;??_);_(@_)"/>
  </numFmts>
  <fonts count="8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indexed="52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24">
    <xf numFmtId="0" fontId="0" fillId="0" borderId="0" xfId="0"/>
    <xf numFmtId="0" fontId="4" fillId="0" borderId="0" xfId="0" applyFont="1"/>
    <xf numFmtId="43" fontId="4" fillId="0" borderId="0" xfId="1" applyFont="1"/>
    <xf numFmtId="164" fontId="4" fillId="0" borderId="0" xfId="0" applyNumberFormat="1" applyFont="1"/>
    <xf numFmtId="0" fontId="5" fillId="0" borderId="0" xfId="0" applyFont="1"/>
    <xf numFmtId="1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3" fontId="4" fillId="0" borderId="0" xfId="1" applyFont="1" applyFill="1"/>
    <xf numFmtId="0" fontId="6" fillId="3" borderId="2" xfId="0" applyFont="1" applyFill="1" applyBorder="1" applyAlignment="1">
      <alignment horizontal="center" vertical="top" wrapText="1" shrinkToFit="1"/>
    </xf>
    <xf numFmtId="0" fontId="6" fillId="3" borderId="3" xfId="0" applyFont="1" applyFill="1" applyBorder="1" applyAlignment="1">
      <alignment horizontal="center" vertical="top" wrapText="1" shrinkToFit="1"/>
    </xf>
    <xf numFmtId="43" fontId="6" fillId="3" borderId="3" xfId="1" applyFont="1" applyFill="1" applyBorder="1" applyAlignment="1">
      <alignment horizontal="center" vertical="top" wrapText="1" shrinkToFit="1"/>
    </xf>
    <xf numFmtId="164" fontId="6" fillId="3" borderId="3" xfId="0" applyNumberFormat="1" applyFont="1" applyFill="1" applyBorder="1" applyAlignment="1">
      <alignment horizontal="center" vertical="top" wrapText="1" shrinkToFit="1"/>
    </xf>
    <xf numFmtId="165" fontId="0" fillId="0" borderId="0" xfId="0" applyNumberFormat="1"/>
    <xf numFmtId="43" fontId="0" fillId="0" borderId="0" xfId="1" applyFont="1"/>
    <xf numFmtId="0" fontId="7" fillId="0" borderId="0" xfId="0" applyFont="1"/>
    <xf numFmtId="43" fontId="7" fillId="0" borderId="0" xfId="1" applyFont="1"/>
    <xf numFmtId="0" fontId="2" fillId="2" borderId="0" xfId="2" applyFont="1"/>
    <xf numFmtId="164" fontId="2" fillId="2" borderId="0" xfId="2" applyNumberFormat="1" applyFont="1"/>
    <xf numFmtId="43" fontId="5" fillId="0" borderId="0" xfId="1" applyFont="1"/>
    <xf numFmtId="164" fontId="5" fillId="0" borderId="0" xfId="0" applyNumberFormat="1" applyFont="1"/>
    <xf numFmtId="0" fontId="0" fillId="0" borderId="0" xfId="0" applyAlignment="1">
      <alignment horizontal="left"/>
    </xf>
    <xf numFmtId="43" fontId="0" fillId="0" borderId="0" xfId="0" applyNumberFormat="1"/>
    <xf numFmtId="0" fontId="4" fillId="0" borderId="0" xfId="0" applyFont="1" applyAlignment="1">
      <alignment horizontal="right" vertical="center"/>
    </xf>
    <xf numFmtId="0" fontId="6" fillId="0" borderId="1" xfId="0" applyFont="1" applyBorder="1" applyAlignment="1">
      <alignment horizontal="right" vertical="center" wrapText="1"/>
    </xf>
  </cellXfs>
  <cellStyles count="3">
    <cellStyle name="40% - Accent1" xfId="2" builtinId="31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rikanthMudaliar/AppData/Local/Microsoft/Windows/INetCache/Content.Outlook/U6354CGW/CUR%20Jan%2026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hok Kumar CH" refreshedDate="46058.551117013893" createdVersion="8" refreshedVersion="8" minRefreshableVersion="3" recordCount="184" xr:uid="{A5D1863B-52F9-4AF1-995E-74F2529798EF}">
  <cacheSource type="worksheet">
    <worksheetSource ref="A5:J189" sheet="845791061034" r:id="rId2"/>
  </cacheSource>
  <cacheFields count="13">
    <cacheField name="S.No." numFmtId="0">
      <sharedItems containsSemiMixedTypes="0" containsString="0" containsNumber="1" containsInteger="1" minValue="1" maxValue="184"/>
    </cacheField>
    <cacheField name="Service" numFmtId="0">
      <sharedItems count="37">
        <s v="Claude 3 Sonnet (Bedrock Edition)"/>
        <s v="Backup"/>
        <s v="Config"/>
        <s v="Cost Explorer"/>
        <s v="Data Transfer"/>
        <s v="Elastic Load Balancing"/>
        <s v="CloudWatch Events"/>
        <s v="Glue"/>
        <s v="Lambda"/>
        <s v="Secrets Manager"/>
        <s v="Security Hub"/>
        <s v="X-Ray"/>
        <s v="API Gateway"/>
        <s v="Athena"/>
        <s v="AmazonCloudWatch"/>
        <s v="Cognito"/>
        <s v="DevOps Guru"/>
        <s v="Elastic Compute Cloud"/>
        <s v="EC2 Container Registry (ECR)"/>
        <s v="Elastic File System"/>
        <s v="Elastic Container Service for Kubernetes"/>
        <s v="ElastiCache"/>
        <s v="GuardDuty"/>
        <s v="Inspector"/>
        <s v="Location Service"/>
        <s v="Managed Streaming for Apache Kafka"/>
        <s v="QuickSight"/>
        <s v="Relational Database Service"/>
        <s v="Redshift"/>
        <s v="Simple Storage Service"/>
        <s v="S3 Glacier Deep Archive"/>
        <s v="Simple Notification Service"/>
        <s v="SageMaker"/>
        <s v="Textract"/>
        <s v="Virtual Private Cloud"/>
        <s v="Key Management Service"/>
        <s v="WAF"/>
      </sharedItems>
    </cacheField>
    <cacheField name="Sub-Service/Type" numFmtId="0">
      <sharedItems/>
    </cacheField>
    <cacheField name="Region" numFmtId="0">
      <sharedItems/>
    </cacheField>
    <cacheField name="UoM" numFmtId="0">
      <sharedItems/>
    </cacheField>
    <cacheField name="Unit Price - Details" numFmtId="0">
      <sharedItems count="184">
        <s v="Marketplace software usage|ap-south-1|Million Input Tokens"/>
        <s v="Marketplace software usage|ap-south-1|Million Response Tokens"/>
        <s v="$0.055 per GB-month for warm backup storage for EFS"/>
        <s v="$0.003 per Configuration Item recorded in Asia Pacific (Mumbai) region"/>
        <s v="$0.001 for the first 100,000 evaluations in Asia Pacific (Mumbai) region"/>
        <s v="$0.01 per API Request"/>
        <s v="$0.010 per GB - regional data transfer - in/out/between EC2 AZs or using elastic IPs or ELB"/>
        <s v="$0.082 per GB - next 100 TB / month data transfer out"/>
        <s v="$0.085 per GB - next 40 TB / month data transfer out"/>
        <s v="$0.1093 per GB - first 10 TB / month data transfer out beyond the global free tier"/>
        <s v="$0.086 per GB - Asia Pacific (Mumbai) data transfer to US East (Northern Virginia)"/>
        <s v="$0.090 per GB - first 10 TB / month data transfer out beyond the global free tier"/>
        <s v="$0.086 per GB - Asia Pacific (Mumbai) data transfer to Asia Pacific (Hyderabad)"/>
        <s v="$0.0239 per Application LoadBalancer-hour (or partial hour)"/>
        <s v="$0.006 per used Network load balancer capacity unit-hour (or partial hour)"/>
        <s v="$0.0239per Network LoadBalancer-hour (or partial hour)"/>
        <s v="$1.05 per million scheduled invocations in Asia Pacific (Mumbai)"/>
        <s v="$1.00 per million EventBridge custom events received in Asia Pacific (Mumbai)"/>
        <s v="$0.44 per Data Processing Unit-Hour for Glue interactive sessions and job notebooks"/>
        <s v="$1 per 1,000,000 requests for Glue Data Catalog request"/>
        <s v="$1 per 100,000 objects per month for Glue Data Catalog storage"/>
        <s v="Lambda - Ephemeral Storage - Asia Pacific (Mumbai)"/>
        <s v="Lambda - Total Compute - Asia Pacific (Mumbai)-Tier-1"/>
        <s v="Lambda - Total Requests - Asia Pacific (Mumbai)"/>
        <s v="$0.05 per 10000 API Requests"/>
        <s v="$0.40 per Secret"/>
        <s v="100,001 to 400,000 security checks per account per region per month cost USD0.0008 per check"/>
        <s v="Finding ingestion events above 10,000 events per account per region per month cost USD0.00003 per event"/>
        <s v="Over 500,000 security checks per account per region per month cost USD0.0005 per check"/>
        <s v="The first 100,000 security checks per account per region per month cost USD0.001 per check"/>
        <s v="X-Ray - Total Traces Accessed - Asia Pacific (Mumbai)"/>
        <s v="$2.80/million requests - next 667 million requests/month"/>
        <s v="$3.50/million requests - first 333 million requests/month"/>
        <s v="5.00 USD per Terabytes for DataScannedInTB in Asia Pacific (Mumbai)"/>
        <s v="$0.15 per GB of Application Signals data ingested for over 30TB - Asia Pacific (Mumbai)"/>
        <s v="$0.20 per GB of Application Signals data ingested for the next 20TB - Asia Pacific (Mumbai)"/>
        <s v="$0.35 per GB of Application Signals data ingested for the first 10TB - Asia Pacific (Mumbai)"/>
        <s v="$0.30 per million Application Signals for over 1 billion Application Signals - Asia Pacific (Mumbai)"/>
        <s v="$0.75 per million Application Signals for the next 900 million Application Signals - Asia Pacific (Mumbai)"/>
        <s v="$1.50 per million Application Signals for the first 100 million Application Signals - Asia Pacific (Mumbai)"/>
        <s v="$0.0125 per vCPU-Hour monitored by Database Insights for Aurora-PostgreSQL provisioned databases in Asia Pacific (Mumbai)"/>
        <s v="$3.00 per Dashboard per Month"/>
        <s v="$3.00 per Dashboard per Month (&gt;50 metrics)"/>
        <s v="$0.01 per 1,000 requests"/>
        <s v="$0.03 per GB-mo of log storage - Asia Pacific (Mumbai)"/>
        <s v="$0.101 per GB for the next 20TB of vended log data delivered to S3 per month in Asia Pacific (Mumbai)"/>
        <s v="$0.201 per GB for the next 20TB of vended log data delivered to S3 per month in Asia Pacific (Mumbai)"/>
        <s v="$0.335 per GB for the first 10TB of vended log data delivered to S3 per month in Asia Pacific (Mumbai)"/>
        <s v="$0.30 per metric-month for the first 10,000 metrics - Asia Pacific (Mumbai)"/>
        <s v="$0.10 per M observations ingested for over 4B observations - Asia Pacific (Mumbai)"/>
        <s v="$0.18 per M observations ingested for the next 3B observations - Asia Pacific (Mumbai)"/>
        <s v="$0.21 per M observations ingested for the first 1B observations - Asia Pacific (Mumbai)"/>
        <s v="$0.335 per GB of vended logs ingested in Standard log class for the next 20TB - Asia Pacific (Mumbai)"/>
        <s v="$0.67 per GB custom log data ingested in Standard log class - Asia Pacific (Mumbai)"/>
        <s v="$0.67 per GB of vended logs ingested in Standard log class for the first 10TB - Asia Pacific (Mumbai)"/>
        <s v="$0.0067 per GB log data scanned by CloudWatch Logs Insights queries - Asia Pacific (Mumbai)"/>
        <s v="$0.10 per alarm metric month (standard resolution) - Asia Pacific (Mumbai)"/>
        <s v="$0.00000075 per spans indexed for APS3-XRay-Spans-Indexed in Asia Pacific (Mumbai)"/>
        <s v="$0.0017 per canary run per month - Asia Pacific (Mumbai)"/>
        <s v="USD 20.00 per RPS-Month incremental RPS for UserAuthentication (full month) for users in Asia Pacific (Mumbai)"/>
        <s v="USD 20.00 per RPS-Month incremental RPS for UserRead (full month) for users in Asia Pacific (Mumbai)"/>
        <s v="USD 20.00 per RPS-Month incremental RPS for UserToken (full month) for users in Asia Pacific (Mumbai)"/>
        <s v="USD 0.001125 per client credential flow (M2M) token request in tier 3  in Asia Pacific (Mumbai)"/>
        <s v="USD 0.0015 per client credential flow (M2M) token request in tier 2  in Asia Pacific (Mumbai)"/>
        <s v="USD 0.00225 per client credential flow (M2M) token request in tier 1  in Asia Pacific (Mumbai)"/>
        <s v="$0.0042 per Resource per Hour for Asia Pacific (Mumbai)-RDS-DBInstance-GroupB"/>
        <s v="$0.05 per GB-Month of snapshot data stored - Asia Pacific (Mumbai)"/>
        <s v="$0.114 per GB-month of General Purpose SSD (gp2) provisioned storage - Asia Pacific (Mumbai)"/>
        <s v="$0.0057 per provisioned IOPS-month of gp3 - Asia Pacific (Mumbai)"/>
        <s v="$0.0456 per provisioned MiBps-month of gp3 - Asia Pacific (Mumbai)"/>
        <s v="$0.0912 per GB-month of General Purpose (gp3) provisioned storage - Asia Pacific (Mumbai)"/>
        <s v="$0.3443 per On Demand Windows t3a.2xlarge Instance Hour"/>
        <s v="$0.708 per On Demand Windows c5.2xlarge Instance Hour"/>
        <s v="$0.772 per On Demand Windows m5.2xlarge Instance Hour"/>
        <s v="$0.888 per On Demand Windows r5.2xlarge Instance Hour"/>
        <s v="$5.232 per On Demand Windows r6a.16xlarge Instance Hour"/>
        <s v="$5.328 per On Demand Windows r5.12xlarge Instance Hour"/>
        <s v="$7.848 per On Demand Windows r6a.24xlarge Instance Hour"/>
        <s v="$1.205 per On Demand Red Hat Enterprise Linux with HA m5.4xlarge Instance Hour"/>
        <s v="$0.0124 per On Demand Linux t2.micro Instance Hour"/>
        <s v="$0.3408 per On Demand Linux c6g.4xlarge Instance Hour"/>
        <s v="$0.404 per On Demand Linux m5.2xlarge Instance Hour"/>
        <s v="$0.52 per On Demand Linux r5.2xlarge Instance Hour"/>
        <s v="$0.6816 per On Demand Linux c6g.8xlarge Instance Hour"/>
        <s v="$0.68 per On Demand Linux c5.4xlarge Instance Hour"/>
        <s v="$0.808 per On Demand Linux m5.4xlarge Instance Hour"/>
        <s v="$1.04 per On Demand Linux r5.4xlarge Instance Hour"/>
        <s v="$3.232 per On Demand Linux m5.16xlarge Instance Hour"/>
        <s v="$0.101 per On Demand Linux m6i.large Instance Hour"/>
        <s v="$0.202 per On Demand Linux m5.xlarge Instance Hour"/>
        <s v="$0.10 per GB-month of data storage"/>
        <s v="USD $0.01 per GB-Mo for Archive usage from small file rounding (&lt;128 KB) (APS3)"/>
        <s v="USD $0.02 per GB-Mo for Infrequent Access usage from small file rounding (&lt;128 KB) with Elastic Throughput (APS3)"/>
        <s v="USD $0.033 per GB-Mo for Archive reads (APS3)"/>
        <s v="USD $0.03 per GB for Elastic Throughput reads (APS3)"/>
        <s v="USD $0.01 per GB-Mo for Archive storage (APS3)"/>
        <s v="USD $0.02 per GB-Mo for Infrequent Access storage with Elastic Throughput (APS3)"/>
        <s v="USD $0.33 per GB-Mo for Standard storage (APS3)"/>
        <s v="USD $0.011 per GB for Infrequent Access writes (APS3)"/>
        <s v="USD $0.07 per GB for Elastic Throughput writes (APS3)"/>
        <s v="EKS cluster usage in Asia Pacific (Mumbai)"/>
        <s v="EKS extended support usage in Asia Pacific (Mumbai)"/>
        <s v="$0.844  per Memory optimized r6g.2xlarge node hour running Redis"/>
        <s v="$0.889 per Enhanced High memory R5.2xlarge node hour running Redis"/>
        <s v="$1.688  per Memory optimized r6g.4xlarge node hour running Redis"/>
        <s v="$1.778 per Enhanced High memory R5.4xlarge node hour running Redis"/>
        <s v="$0.085 per additional GB-month of backup storage exceeding free allocation running Redis"/>
        <s v="$0.0000005 per S3 Data Event for the next 4500000000 events / month analyzed in Asia Pacific (Mumbai) region"/>
        <s v="$0.000001 per S3 Data Event for the first 500000000 events / month analyzed in Asia Pacific (Mumbai) region"/>
        <s v="$0.0000044 per CloudTrail event analyzed in Asia Pacific (Mumbai) region"/>
        <s v="$0.000271 per request for above 1000 S3 PUT requests / month analyzed in Asia Pacific (Mumbai) region"/>
        <s v="$0.1125 per GB - for above 1GB for Malware Protection S3 Data Scanned in Asia Pacific (Mumbai)"/>
        <s v="$0.55 per GB for the next 2000 GB / month of data analyzed Asia Pacific (Mumbai) region"/>
        <s v="$1.10 per GB for the first 500 GB / month of data analyzed Asia Pacific (Mumbai) region"/>
        <s v="$0.0005 per Hourly for Lambda-Standard-Scanning in Asia Pacific (Mumbai)"/>
        <s v="$0.0021 per Instance-hrs for EC2-Scanning in Asia Pacific (Mumbai)"/>
        <s v="$0.01 per Resource-assessment for container-image-re-scan in Asia Pacific (Mumbai)"/>
        <s v="$0.11 per Resource-assessment for container-image-initial-scan in Asia Pacific (Mumbai)"/>
        <s v="$0.01 per thousand resource list requests in Asia Pacific (Mumbai)"/>
        <s v="$0.221 per broker hour for Kafka.m5.large in Asia Pacific (Mumbai)"/>
        <s v="$1.768 per broker hour for Kafka.m5.4xlarge in Asia Pacific (Mumbai)"/>
        <s v="$0.114 per GB-Mo for storage in Asia Pacific (Mumbai)"/>
        <s v="USD250.0 per month fee for Q in QuickSight for Asia Pacific (Mumbai) (ap-south-1)"/>
        <s v="QuickSight Enterprise Edition User"/>
        <s v="USD 0.023 per GB-month of backup storage exceeding free allocation for Aurora MySQL"/>
        <s v="USD 0.66 per RDS db.r5.xlarge Single-AZ instance hour (or partial hour) running Aurora MySQL"/>
        <s v="USD 2.64 per RDS db.r5.4xlarge Single-AZ instance hour (or partial hour) running Aurora MySQL"/>
        <s v="USD 0.023 per GB-month of backup storage exceeding free allocation for Aurora PostgreSQL"/>
        <s v="USD 0.11 per GB-month of consumed storage for Aurora PostgreSQL"/>
        <s v="USD 0.22 per 1 million I/O requests for Aurora PostgreSQL"/>
        <s v="USD 0.248 per GB-month of I/O-Optimized consumed storage (Aurora PostgreSQL)"/>
        <s v="USD 0.66 per RDS db.r5.xlarge Single-AZ instance hour (or partial hour) running Aurora PostgreSQL"/>
        <s v="USD 1.32 per RDS db.r5.2xlarge Single-AZ instance hour (or partial hour) running Aurora PostgreSQL"/>
        <s v="USD 1.716 per RDS db.r5.2xlarge IO-optimized Single-AZ instance hour (or partial hour) running Aurora PostgreSQL"/>
        <s v="USD 10.560 per RDS db.r5.16xlarge Single-AZ instance hour (or partial hour) running Aurora PostgreSQL"/>
        <s v="USD 2.64 per RDS db.r5.4xlarge Single-AZ instance hour (or partial hour) running Aurora PostgreSQL"/>
        <s v="USD 3.432 per RDS db.r5.4xlarge IO-optimized Single-AZ instance hour (or partial hour) running Aurora PostgreSQL"/>
        <s v="USD 5.280 per RDS db.r5.8xlarge Single-AZ instance hour (or partial hour) running Aurora PostgreSQL"/>
        <s v="USD 6.8640 per RDS db.r5.8xlarge IO-optimized Single-AZ instance hour (or partial hour) running Aurora PostgreSQL"/>
        <s v="USD 0.110 per GB-month of consumed storage for Aurora MySQL"/>
        <s v="USD 0.220 per 1 million I/O requests for Aurora MySQL"/>
        <s v="Storage charges with Redshift managed storage"/>
        <s v="$1.235 per Redshift RA3.XLPLUS Compute Node-hour"/>
        <s v="$0.005 per 1,000 PUT, COPY, POST, or LIST requests"/>
        <s v="$0.002 per GB-Month for storage used in Glacier Deep Archive in Asia Pacific (Mumbai)"/>
        <s v="$0.023 per GB - storage used / month over 500 TB"/>
        <s v="$0.024 per GB - next 450 TB / month of storage used"/>
        <s v="$0.002 per GB-Month prorated for objects deleted before 180 days in Glacier Deep Archive in Asia Pacific (Mumbai)"/>
        <s v="$0.005 per GB-Month prorated for objects deleted or overwritten before 90 days in Glacier Instant Retrieval"/>
        <s v="$0.03 per 1,000 GetAGGrant requests for S3 Access Grants"/>
        <s v="$0.03 per 1,000 GetAGLocation requests for S3 Access Grants"/>
        <s v="$0.03 per 1,000 GetAG requests for S3 Access Grants"/>
        <s v="$0.004 per 10,000 GET and all other requests"/>
        <s v="$0.03 per GB - flat fee for all bytes retrieved in Glacier Instant Retrieval"/>
        <s v="$0.1 per 10,000 GET and all other requests to Glacier Instant Retrieval"/>
        <s v="$0.005 per GB-Month of storage used in Glacier Instant Retrieval"/>
        <s v="$0.004 per GB-Month of storage used in Glacier Instant Retrieval"/>
        <s v="$0.03 per 1,000 ListAGGrants requests for S3 Access Grants"/>
        <s v="$0.03 per 1,000 ListAGLocations requests for S3 Access Grants"/>
        <s v="$0.03 per 1,000 ListAGs requests for S3 Access Grants"/>
        <s v="$0.005 per 1,000 PUT Requests/COPY/POST or LIST Requests to S3 Table Buckets"/>
        <s v="$0.06 per 1,000 Tier1 Vectors API Requests"/>
        <s v="$0.055 per 1,000 Tier1 Vectors API Requests"/>
        <s v="$0.0065 per 10,000 Tags per month "/>
        <s v="$0.07 per 1,000 Lifecycle requests to Glacier Deep Archive in Asia Pacific (Mumbai)"/>
        <s v="$0.02 per 1,000 transitions to Glacier Instant Retrieval"/>
        <s v="$0.025 per GB - first 50 TB / month of storage used"/>
        <s v="$0.023 per GB - first 50 TB / month of storage used"/>
        <s v="$0.20 per MM objects per monthfor the first 25B objects for Storage Lens to Asia Pacific (Mumbai)"/>
        <s v="$0.50 per 1,000,000 SNS API Requests per month thereafter"/>
        <s v="$2.00 per 100,000 SNS Email/Email-JSON Notifications thereafter"/>
        <s v="$0.16 per GB-Mo of Notebook Instance ML storage in ap-south-1"/>
        <s v="$0.12768 per GB-Mo of provisioned ML storage"/>
        <s v="$0.054 per Notebook ml.t3.medium hour in Asia Pacific (Mumbai)"/>
        <s v="$1.9 per Hrs for Canvas:Workspace Instance (Session-Hrs):RunInstance in Asia Pacific (Mumbai)"/>
        <s v="USD 0.60 per 1,000 Pages for SyncTextPagesProcessed in Asia Pacific (Mumbai):1M+ pages tier"/>
        <s v="USD 1.50 per 1,000 Pages for SyncTextPagesProcessed in Asia Pacific (Mumbai): 0-1M pages tier"/>
        <s v="$0.02 per GB Data Processed by Transit Gateway VPC Attachment"/>
        <s v="$0.07 per Transit Gateway VPC Attachment Hour"/>
        <s v="$0.013 per VPC Endpoint Hour"/>
        <s v="$1 per customer managed KMS key version in Asia Pacific (Mumbai)"/>
        <s v="$0.03 per 10000 KMS requests in Asia Pacific (Mumbai)"/>
        <s v="$0.03 per 10000 KMS requests in Asia Pacific (Hyderabad)"/>
        <s v="$0.60 per million Request for Request Processed Tier0 in Asia Pacific (Mumbai)"/>
      </sharedItems>
    </cacheField>
    <cacheField name="Unit Price (USD)" numFmtId="0">
      <sharedItems containsSemiMixedTypes="0" containsString="0" containsNumber="1" minValue="3.5128130272241118E-8" maxValue="250"/>
    </cacheField>
    <cacheField name="Qty/Request" numFmtId="43">
      <sharedItems containsSemiMixedTypes="0" containsString="0" containsNumber="1" minValue="9.5238095238095241E-5" maxValue="2684530186"/>
    </cacheField>
    <cacheField name="Individual Price (USD)" numFmtId="43">
      <sharedItems containsSemiMixedTypes="0" containsString="0" containsNumber="1" minValue="5.1599999999999994E-5" maxValue="140969.10963200001"/>
    </cacheField>
    <cacheField name="Price Per Service (USD)" numFmtId="43">
      <sharedItems containsSemiMixedTypes="0" containsString="0" containsNumber="1" minValue="5.1599999999999994E-5" maxValue="140969.10963200001"/>
    </cacheField>
    <cacheField name="Mapping with RFP section" numFmtId="0">
      <sharedItems/>
    </cacheField>
    <cacheField name="Discount" numFmtId="10">
      <sharedItems containsSemiMixedTypes="0" containsString="0" containsNumber="1" minValue="0.22" maxValue="0.52500000000000002"/>
    </cacheField>
    <cacheField name="Final Cost ($)" numFmtId="165">
      <sharedItems containsSemiMixedTypes="0" containsString="0" containsNumber="1" minValue="4.0247999999999998E-5" maxValue="66960.327075199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4">
  <r>
    <n v="1"/>
    <x v="0"/>
    <s v="Claude 3 Sonnet (Bedrock Edition)"/>
    <s v="ap-south-1"/>
    <s v="Units"/>
    <x v="0"/>
    <n v="2.9999564630589055"/>
    <n v="2.2968999999999999"/>
    <n v="6.8906000000000001"/>
    <n v="6.8906000000000001"/>
    <s v="Average Discount"/>
    <n v="0.27079999999999999"/>
    <n v="5.0246255199999998"/>
  </r>
  <r>
    <n v="2"/>
    <x v="0"/>
    <s v="Claude 3 Sonnet (Bedrock Edition)"/>
    <s v="ap-south-1"/>
    <s v="Units"/>
    <x v="1"/>
    <n v="15.000926784059313"/>
    <n v="0.1079"/>
    <n v="1.6185999999999998"/>
    <n v="1.6185999999999998"/>
    <s v="Average Discount"/>
    <n v="0.27079999999999999"/>
    <n v="1.1802831199999999"/>
  </r>
  <r>
    <n v="3"/>
    <x v="1"/>
    <s v="Backup"/>
    <s v="ap-south-1"/>
    <s v="GB-month"/>
    <x v="2"/>
    <n v="5.5E-2"/>
    <n v="27.485399999999998"/>
    <n v="1.5116969999999998"/>
    <n v="1.5116969999999998"/>
    <s v="Section C"/>
    <n v="0.52500000000000002"/>
    <n v="0.7180560749999999"/>
  </r>
  <r>
    <n v="4"/>
    <x v="2"/>
    <s v="Config"/>
    <s v="ap-south-1"/>
    <s v="APS3-ConfigurationItemRecorded"/>
    <x v="3"/>
    <n v="3.0000000000000001E-3"/>
    <n v="342204"/>
    <n v="1026.6120000000001"/>
    <n v="1026.6120000000001"/>
    <s v="Section E"/>
    <n v="0.22"/>
    <n v="800.75736000000006"/>
  </r>
  <r>
    <n v="5"/>
    <x v="2"/>
    <s v="Config"/>
    <s v="ap-south-1"/>
    <s v="ConfigRuleEvaluations"/>
    <x v="4"/>
    <n v="1E-3"/>
    <n v="374"/>
    <n v="0.374"/>
    <n v="0.374"/>
    <s v="Section E"/>
    <n v="0.22"/>
    <n v="0.29171999999999998"/>
  </r>
  <r>
    <n v="6"/>
    <x v="3"/>
    <s v="Cost Explorer"/>
    <s v="us-east-1"/>
    <s v="Request"/>
    <x v="5"/>
    <n v="0.01"/>
    <n v="16"/>
    <n v="0.16"/>
    <n v="0.16"/>
    <s v="Section F"/>
    <n v="0.22"/>
    <n v="0.12479999999999999"/>
  </r>
  <r>
    <n v="7"/>
    <x v="4"/>
    <s v="Data Transfer"/>
    <s v="ap-south-1"/>
    <s v="GB"/>
    <x v="6"/>
    <n v="0.01"/>
    <n v="1792933.9186"/>
    <n v="17929.339186000001"/>
    <n v="17929.339186000001"/>
    <s v="Section F"/>
    <n v="0.22"/>
    <n v="13984.884565080001"/>
  </r>
  <r>
    <n v="8"/>
    <x v="4"/>
    <s v="Data Transfer"/>
    <s v="ap-south-1"/>
    <s v="GB"/>
    <x v="7"/>
    <n v="8.2000000000000003E-2"/>
    <n v="322.59839999999997"/>
    <n v="26.453068799999997"/>
    <n v="26.453068799999997"/>
    <s v="Section F"/>
    <n v="0.22"/>
    <n v="20.633393663999996"/>
  </r>
  <r>
    <n v="9"/>
    <x v="4"/>
    <s v="Data Transfer"/>
    <s v="ap-south-1"/>
    <s v="GB"/>
    <x v="8"/>
    <n v="8.5000000000000006E-2"/>
    <n v="124.715"/>
    <n v="10.600775000000001"/>
    <n v="10.600775000000001"/>
    <s v="Section F"/>
    <n v="0.22"/>
    <n v="8.2686045000000004"/>
  </r>
  <r>
    <n v="10"/>
    <x v="4"/>
    <s v="Data Transfer"/>
    <s v="ap-south-1"/>
    <s v="GB"/>
    <x v="9"/>
    <n v="0.10929999999999999"/>
    <n v="4.8252516010978965"/>
    <n v="0.52740000000000009"/>
    <n v="0.52740000000000009"/>
    <s v="Section F"/>
    <n v="0.22"/>
    <n v="0.41137200000000007"/>
  </r>
  <r>
    <n v="11"/>
    <x v="4"/>
    <s v="Data Transfer"/>
    <s v=""/>
    <s v="GB"/>
    <x v="10"/>
    <n v="8.5999999999999993E-2"/>
    <n v="1.11E-2"/>
    <n v="9.546E-4"/>
    <n v="9.546E-4"/>
    <s v="Section F"/>
    <n v="0.22"/>
    <n v="7.4458800000000002E-4"/>
  </r>
  <r>
    <n v="12"/>
    <x v="4"/>
    <s v="Data Transfer"/>
    <s v=""/>
    <s v="GB"/>
    <x v="11"/>
    <n v="0.09"/>
    <n v="1.4200000000000001E-2"/>
    <n v="1.2780000000000001E-3"/>
    <n v="1.2780000000000001E-3"/>
    <s v="Section F"/>
    <n v="0.22"/>
    <n v="9.9684000000000014E-4"/>
  </r>
  <r>
    <n v="13"/>
    <x v="4"/>
    <s v="Data Transfer"/>
    <s v=""/>
    <s v="GB"/>
    <x v="12"/>
    <n v="8.5999999999999993E-2"/>
    <n v="5.9999999999999995E-4"/>
    <n v="5.1599999999999994E-5"/>
    <n v="5.1599999999999994E-5"/>
    <s v="Section F"/>
    <n v="0.22"/>
    <n v="4.0247999999999998E-5"/>
  </r>
  <r>
    <n v="14"/>
    <x v="5"/>
    <s v="Elastic Load Balancing"/>
    <s v="ap-south-1"/>
    <s v="Hrs"/>
    <x v="13"/>
    <n v="2.3900000000000001E-2"/>
    <n v="744"/>
    <n v="17.781600000000001"/>
    <n v="17.781600000000001"/>
    <s v="Section F"/>
    <n v="0.22"/>
    <n v="13.869648000000002"/>
  </r>
  <r>
    <n v="15"/>
    <x v="5"/>
    <s v="Elastic Load Balancing"/>
    <s v="ap-south-1"/>
    <s v="LCU-Hrs"/>
    <x v="14"/>
    <n v="6.0000000000000001E-3"/>
    <n v="462065.51390000002"/>
    <n v="2772.3930834000003"/>
    <n v="2772.3930834000003"/>
    <s v="Section F"/>
    <n v="0.22"/>
    <n v="2162.466605052"/>
  </r>
  <r>
    <n v="16"/>
    <x v="5"/>
    <s v="Elastic Load Balancing"/>
    <s v="ap-south-1"/>
    <s v="Hrs"/>
    <x v="15"/>
    <n v="2.3900000000000001E-2"/>
    <n v="8928"/>
    <n v="213.3792"/>
    <n v="213.3792"/>
    <s v="Section F"/>
    <n v="0.22"/>
    <n v="166.435776"/>
  </r>
  <r>
    <n v="17"/>
    <x v="6"/>
    <s v="CloudWatch Events"/>
    <s v="ap-south-1"/>
    <s v="Invocations"/>
    <x v="16"/>
    <n v="1.05"/>
    <n v="9.5238095238095241E-5"/>
    <n v="1E-4"/>
    <n v="1E-4"/>
    <s v="Section E"/>
    <n v="0.22"/>
    <n v="7.7999999999999999E-5"/>
  </r>
  <r>
    <n v="18"/>
    <x v="6"/>
    <s v="CloudWatch Events"/>
    <s v="ap-south-1"/>
    <s v="64K-Chunks"/>
    <x v="17"/>
    <n v="1"/>
    <n v="290.47280000000001"/>
    <n v="290.47280000000001"/>
    <n v="290.47280000000001"/>
    <s v="Section E"/>
    <n v="0.22"/>
    <n v="226.56878399999999"/>
  </r>
  <r>
    <n v="19"/>
    <x v="7"/>
    <s v="Glue"/>
    <s v="ap-south-1"/>
    <s v="DPU-Hour"/>
    <x v="18"/>
    <n v="0.44"/>
    <n v="2.5432999999999999"/>
    <n v="1.1190519999999999"/>
    <n v="1.1190519999999999"/>
    <s v="Section B"/>
    <n v="0.22"/>
    <n v="0.8728605599999999"/>
  </r>
  <r>
    <n v="20"/>
    <x v="7"/>
    <s v="Glue"/>
    <s v="ap-northeast-1"/>
    <s v="Request"/>
    <x v="19"/>
    <n v="1"/>
    <n v="1.4699999999999993E-2"/>
    <n v="1.4699999999999993E-2"/>
    <n v="1.4699999999999993E-2"/>
    <s v="Section B"/>
    <n v="0.22"/>
    <n v="1.1465999999999994E-2"/>
  </r>
  <r>
    <n v="21"/>
    <x v="7"/>
    <s v="Glue"/>
    <s v="ap-south-1"/>
    <s v="Obj-Month"/>
    <x v="20"/>
    <n v="1"/>
    <n v="1.4800000000000001E-2"/>
    <n v="1.4800000000000001E-2"/>
    <n v="1.4800000000000001E-2"/>
    <s v="Section B"/>
    <n v="0.22"/>
    <n v="1.1544E-2"/>
  </r>
  <r>
    <n v="22"/>
    <x v="8"/>
    <s v="Lambda"/>
    <s v="ap-south-1"/>
    <s v="GB-Seconds"/>
    <x v="21"/>
    <n v="3.5128130272241118E-8"/>
    <n v="851169.69700000004"/>
    <n v="2.9900000000000003E-2"/>
    <n v="2.9900000000000003E-2"/>
    <s v="Section C"/>
    <n v="0.52500000000000002"/>
    <n v="1.42025E-2"/>
  </r>
  <r>
    <n v="23"/>
    <x v="8"/>
    <s v="Lambda"/>
    <s v="ap-south-1"/>
    <s v="Lambda-GB-Second"/>
    <x v="22"/>
    <n v="1.6666705039331925E-5"/>
    <n v="1791031.8764000002"/>
    <n v="29.850599999999996"/>
    <n v="29.850599999999996"/>
    <s v="Section C"/>
    <n v="0.52500000000000002"/>
    <n v="14.179034999999997"/>
  </r>
  <r>
    <n v="24"/>
    <x v="8"/>
    <s v="Lambda"/>
    <s v="ap-south-1"/>
    <s v="Request"/>
    <x v="23"/>
    <n v="2.000498604515411E-7"/>
    <n v="164459"/>
    <n v="3.2899999999999999E-2"/>
    <n v="3.2899999999999999E-2"/>
    <s v="Section C"/>
    <n v="0.52500000000000002"/>
    <n v="1.5627499999999999E-2"/>
  </r>
  <r>
    <n v="25"/>
    <x v="9"/>
    <s v="Secrets Manager"/>
    <s v="ap-south-1"/>
    <s v="API Requests"/>
    <x v="24"/>
    <n v="0.05"/>
    <n v="149.506"/>
    <n v="7.4753000000000007"/>
    <n v="7.4753000000000007"/>
    <s v="Section E"/>
    <n v="0.22"/>
    <n v="5.8307340000000005"/>
  </r>
  <r>
    <n v="26"/>
    <x v="9"/>
    <s v="Secrets Manager"/>
    <s v="ap-south-1"/>
    <s v="Secrets"/>
    <x v="25"/>
    <n v="0.4"/>
    <n v="73"/>
    <n v="29.200000000000003"/>
    <n v="29.200000000000003"/>
    <s v="Section E"/>
    <n v="0.22"/>
    <n v="22.776000000000003"/>
  </r>
  <r>
    <n v="27"/>
    <x v="10"/>
    <s v="Security Hub"/>
    <s v="ap-south-1"/>
    <s v="Security Checks"/>
    <x v="26"/>
    <n v="8.0000000000000004E-4"/>
    <n v="176581"/>
    <n v="141.26480000000001"/>
    <n v="141.26480000000001"/>
    <s v="Section E"/>
    <n v="0.22"/>
    <n v="110.186544"/>
  </r>
  <r>
    <n v="28"/>
    <x v="10"/>
    <s v="Security Hub"/>
    <s v="ap-south-1"/>
    <s v="Finding Ingestion Events"/>
    <x v="27"/>
    <n v="3.0000000000000001E-5"/>
    <n v="2404556.666666667"/>
    <n v="72.136700000000005"/>
    <n v="72.136700000000005"/>
    <s v="Section E"/>
    <n v="0.22"/>
    <n v="56.266626000000002"/>
  </r>
  <r>
    <n v="29"/>
    <x v="10"/>
    <s v="Security Hub"/>
    <s v="ap-south-1"/>
    <s v="Security Checks"/>
    <x v="28"/>
    <n v="5.0000000000000001E-4"/>
    <n v="215346"/>
    <n v="107.673"/>
    <n v="107.673"/>
    <s v="Section E"/>
    <n v="0.22"/>
    <n v="83.984939999999995"/>
  </r>
  <r>
    <n v="30"/>
    <x v="10"/>
    <s v="Security Hub"/>
    <s v="ap-south-1"/>
    <s v="Security Checks"/>
    <x v="29"/>
    <n v="1E-3"/>
    <n v="45200"/>
    <n v="45.2"/>
    <n v="45.2"/>
    <s v="Section E"/>
    <n v="0.22"/>
    <n v="35.256"/>
  </r>
  <r>
    <n v="31"/>
    <x v="11"/>
    <s v="X-Ray"/>
    <s v="ap-south-1"/>
    <s v="traces"/>
    <x v="30"/>
    <n v="5.0226017076845802E-7"/>
    <n v="21901"/>
    <n v="1.0999999999999999E-2"/>
    <n v="1.0999999999999999E-2"/>
    <s v="Section D"/>
    <n v="0.22"/>
    <n v="8.5799999999999991E-3"/>
  </r>
  <r>
    <n v="32"/>
    <x v="12"/>
    <s v="API Gateway"/>
    <s v="ap-south-1"/>
    <s v="Requests"/>
    <x v="31"/>
    <n v="2.8"/>
    <n v="100.44575000000002"/>
    <n v="281.24810000000002"/>
    <n v="281.24810000000002"/>
    <s v="Section F"/>
    <n v="0.22"/>
    <n v="219.37351800000002"/>
  </r>
  <r>
    <n v="33"/>
    <x v="12"/>
    <s v="API Gateway"/>
    <s v="ap-south-1"/>
    <s v="Requests"/>
    <x v="32"/>
    <n v="3.5"/>
    <n v="325.15000000000003"/>
    <n v="1138.0250000000001"/>
    <n v="1138.0250000000001"/>
    <s v="Section F"/>
    <n v="0.22"/>
    <n v="887.65950000000009"/>
  </r>
  <r>
    <n v="34"/>
    <x v="13"/>
    <s v="Athena"/>
    <s v="ap-south-1"/>
    <s v="Terabytes"/>
    <x v="33"/>
    <n v="5.0000001634890658"/>
    <n v="611.6617"/>
    <n v="3058.3085999999998"/>
    <n v="3058.3085999999998"/>
    <s v="Section E"/>
    <n v="0.22"/>
    <n v="2385.480708"/>
  </r>
  <r>
    <n v="35"/>
    <x v="14"/>
    <s v="AmazonCloudWatch"/>
    <s v="ap-south-1"/>
    <s v="GB"/>
    <x v="34"/>
    <n v="0.15"/>
    <n v="43313.625"/>
    <n v="6497.0437499999998"/>
    <n v="6497.0437499999998"/>
    <s v="Section E"/>
    <n v="0.22"/>
    <n v="5067.694125"/>
  </r>
  <r>
    <n v="36"/>
    <x v="14"/>
    <s v="AmazonCloudWatch"/>
    <s v="ap-south-1"/>
    <s v="GB"/>
    <x v="35"/>
    <n v="0.2"/>
    <n v="11561.0275"/>
    <n v="2312.2055"/>
    <n v="2312.2055"/>
    <s v="Section E"/>
    <n v="0.22"/>
    <n v="1803.5202899999999"/>
  </r>
  <r>
    <n v="37"/>
    <x v="14"/>
    <s v="AmazonCloudWatch"/>
    <s v="ap-south-1"/>
    <s v="GB"/>
    <x v="36"/>
    <n v="0.35"/>
    <n v="5814.7020000000002"/>
    <n v="2035.1457"/>
    <n v="2035.1457"/>
    <s v="Section E"/>
    <n v="0.22"/>
    <n v="1587.413646"/>
  </r>
  <r>
    <n v="38"/>
    <x v="14"/>
    <s v="AmazonCloudWatch"/>
    <s v="ap-south-1"/>
    <s v="Signals"/>
    <x v="37"/>
    <n v="0.3"/>
    <n v="0.36"/>
    <n v="0.108"/>
    <n v="0.108"/>
    <s v="Section E"/>
    <n v="0.22"/>
    <n v="8.4239999999999995E-2"/>
  </r>
  <r>
    <n v="39"/>
    <x v="14"/>
    <s v="AmazonCloudWatch"/>
    <s v="ap-south-1"/>
    <s v="Signals"/>
    <x v="38"/>
    <n v="0.75"/>
    <n v="9.8089333333333339"/>
    <n v="7.3567"/>
    <n v="7.3567"/>
    <s v="Section E"/>
    <n v="0.22"/>
    <n v="5.738226"/>
  </r>
  <r>
    <n v="40"/>
    <x v="14"/>
    <s v="AmazonCloudWatch"/>
    <s v="ap-south-1"/>
    <s v="Signals"/>
    <x v="39"/>
    <n v="1.5"/>
    <n v="1.0943333333333334"/>
    <n v="1.6415000000000002"/>
    <n v="1.6415000000000002"/>
    <s v="Section E"/>
    <n v="0.22"/>
    <n v="1.28037"/>
  </r>
  <r>
    <n v="41"/>
    <x v="14"/>
    <s v="AmazonCloudWatch"/>
    <s v="ap-south-1"/>
    <s v="vCPU-Hours"/>
    <x v="40"/>
    <n v="1.2500000000000001E-2"/>
    <n v="59520"/>
    <n v="744"/>
    <n v="744"/>
    <s v="Section E"/>
    <n v="0.22"/>
    <n v="580.31999999999994"/>
  </r>
  <r>
    <n v="42"/>
    <x v="14"/>
    <s v="AmazonCloudWatch"/>
    <s v=""/>
    <s v="Dashboards"/>
    <x v="41"/>
    <n v="3"/>
    <n v="1"/>
    <n v="3"/>
    <n v="3"/>
    <s v="Section E"/>
    <n v="0.22"/>
    <n v="2.34"/>
  </r>
  <r>
    <n v="43"/>
    <x v="14"/>
    <s v="AmazonCloudWatch"/>
    <s v=""/>
    <s v="Dashboards"/>
    <x v="42"/>
    <n v="3"/>
    <n v="10"/>
    <n v="30"/>
    <n v="30"/>
    <s v="Section E"/>
    <n v="0.22"/>
    <n v="23.4"/>
  </r>
  <r>
    <n v="44"/>
    <x v="14"/>
    <s v="AmazonCloudWatch"/>
    <s v="ap-south-1"/>
    <s v="Requests"/>
    <x v="43"/>
    <n v="0.01"/>
    <n v="1061.32"/>
    <n v="10.613199999999999"/>
    <n v="10.613199999999999"/>
    <s v="Section E"/>
    <n v="0.22"/>
    <n v="8.2782959999999992"/>
  </r>
  <r>
    <n v="45"/>
    <x v="14"/>
    <s v="AmazonCloudWatch"/>
    <s v="ap-south-1"/>
    <s v="GB-Mo"/>
    <x v="44"/>
    <n v="0.03"/>
    <n v="187261.37666666668"/>
    <n v="5617.8413"/>
    <n v="5617.8413"/>
    <s v="Section E"/>
    <n v="0.22"/>
    <n v="4381.9162139999999"/>
  </r>
  <r>
    <n v="46"/>
    <x v="14"/>
    <s v="AmazonCloudWatch"/>
    <s v="ap-south-1"/>
    <s v="GB"/>
    <x v="45"/>
    <n v="0.10100000000000001"/>
    <n v="28.277999999999999"/>
    <n v="2.8560780000000001"/>
    <n v="2.8560780000000001"/>
    <s v="Section E"/>
    <n v="0.22"/>
    <n v="2.2277408400000001"/>
  </r>
  <r>
    <n v="47"/>
    <x v="14"/>
    <s v="AmazonCloudWatch"/>
    <s v="ap-south-1"/>
    <s v="GB"/>
    <x v="46"/>
    <n v="0.20100000000000001"/>
    <n v="469.46915422885564"/>
    <n v="94.363299999999995"/>
    <n v="94.363299999999995"/>
    <s v="Section E"/>
    <n v="0.22"/>
    <n v="73.603374000000002"/>
  </r>
  <r>
    <n v="48"/>
    <x v="14"/>
    <s v="AmazonCloudWatch"/>
    <s v="ap-south-1"/>
    <s v="GB"/>
    <x v="47"/>
    <n v="0.33500000000000002"/>
    <n v="248.58597014925374"/>
    <n v="83.276300000000006"/>
    <n v="83.276300000000006"/>
    <s v="Section E"/>
    <n v="0.22"/>
    <n v="64.955514000000008"/>
  </r>
  <r>
    <n v="49"/>
    <x v="14"/>
    <s v="AmazonCloudWatch"/>
    <s v="ap-south-1"/>
    <s v="Metrics"/>
    <x v="48"/>
    <n v="0.3"/>
    <n v="3593.2754999999997"/>
    <n v="1077.9826499999999"/>
    <n v="1077.9826499999999"/>
    <s v="Section E"/>
    <n v="0.22"/>
    <n v="840.82646699999998"/>
  </r>
  <r>
    <n v="50"/>
    <x v="14"/>
    <s v="AmazonCloudWatch"/>
    <s v="ap-south-1"/>
    <s v="Observations"/>
    <x v="49"/>
    <n v="0.1"/>
    <n v="18781.548999999999"/>
    <n v="1878.1549"/>
    <n v="1878.1549"/>
    <s v="Section E"/>
    <n v="0.22"/>
    <n v="1464.960822"/>
  </r>
  <r>
    <n v="51"/>
    <x v="14"/>
    <s v="AmazonCloudWatch"/>
    <s v="ap-south-1"/>
    <s v="Observations"/>
    <x v="50"/>
    <n v="0.18"/>
    <n v="1085.4205555555557"/>
    <n v="195.37570000000002"/>
    <n v="195.37570000000002"/>
    <s v="Section E"/>
    <n v="0.22"/>
    <n v="152.39304600000003"/>
  </r>
  <r>
    <n v="52"/>
    <x v="14"/>
    <s v="AmazonCloudWatch"/>
    <s v="ap-south-1"/>
    <s v="Observations"/>
    <x v="51"/>
    <n v="0.21"/>
    <n v="653.40238095238089"/>
    <n v="137.21449999999999"/>
    <n v="137.21449999999999"/>
    <s v="Section E"/>
    <n v="0.22"/>
    <n v="107.02730999999999"/>
  </r>
  <r>
    <n v="53"/>
    <x v="14"/>
    <s v="AmazonCloudWatch"/>
    <s v="ap-south-1"/>
    <s v="GB"/>
    <x v="52"/>
    <n v="0.33500000000000002"/>
    <n v="8445.1805970149253"/>
    <n v="2829.1355000000003"/>
    <n v="2829.1355000000003"/>
    <s v="Section E"/>
    <n v="0.22"/>
    <n v="2206.7256900000002"/>
  </r>
  <r>
    <n v="54"/>
    <x v="14"/>
    <s v="AmazonCloudWatch"/>
    <s v="ap-south-1"/>
    <s v="GB"/>
    <x v="53"/>
    <n v="0.67"/>
    <n v="2799.94"/>
    <n v="1875.9598000000001"/>
    <n v="1875.9598000000001"/>
    <s v="Section E"/>
    <n v="0.22"/>
    <n v="1463.248644"/>
  </r>
  <r>
    <n v="55"/>
    <x v="14"/>
    <s v="AmazonCloudWatch"/>
    <s v="ap-south-1"/>
    <s v="GB"/>
    <x v="54"/>
    <n v="0.67"/>
    <n v="7760.4750746268646"/>
    <n v="5199.5182999999997"/>
    <n v="5199.5182999999997"/>
    <s v="Section E"/>
    <n v="0.22"/>
    <n v="4055.6242739999998"/>
  </r>
  <r>
    <n v="56"/>
    <x v="14"/>
    <s v="AmazonCloudWatch"/>
    <s v="ap-south-1"/>
    <s v="GB"/>
    <x v="55"/>
    <n v="6.7000000000000002E-3"/>
    <n v="571282.39859999996"/>
    <n v="3827.59207062"/>
    <n v="3827.59207062"/>
    <s v="Section E"/>
    <n v="0.22"/>
    <n v="2985.5218150835999"/>
  </r>
  <r>
    <n v="57"/>
    <x v="14"/>
    <s v="AmazonCloudWatch"/>
    <s v="ap-south-1"/>
    <s v="Alarms"/>
    <x v="56"/>
    <n v="0.1"/>
    <n v="824"/>
    <n v="82.4"/>
    <n v="82.4"/>
    <s v="Section E"/>
    <n v="0.22"/>
    <n v="64.272000000000006"/>
  </r>
  <r>
    <n v="58"/>
    <x v="14"/>
    <s v="AmazonCloudWatch"/>
    <s v="ap-south-1"/>
    <s v="spans indexed"/>
    <x v="57"/>
    <n v="9.9999999999999995E-7"/>
    <n v="2184145800"/>
    <n v="2184.1457999999998"/>
    <n v="2184.1457999999998"/>
    <s v="Section E"/>
    <n v="0.22"/>
    <n v="1703.6337239999998"/>
  </r>
  <r>
    <n v="59"/>
    <x v="14"/>
    <s v="AmazonCloudWatch"/>
    <s v="ap-south-1"/>
    <s v="Runs"/>
    <x v="58"/>
    <n v="1.6999999999999999E-3"/>
    <n v="80352"/>
    <n v="136.5984"/>
    <n v="136.5984"/>
    <s v="Section E"/>
    <n v="0.22"/>
    <n v="106.546752"/>
  </r>
  <r>
    <n v="60"/>
    <x v="15"/>
    <s v="Cognito"/>
    <s v="ap-south-1"/>
    <s v="CognitoUserPoolsRPSMo"/>
    <x v="59"/>
    <n v="20"/>
    <n v="80"/>
    <n v="1600"/>
    <n v="1600"/>
    <s v="Section F"/>
    <n v="0.22"/>
    <n v="1248"/>
  </r>
  <r>
    <n v="61"/>
    <x v="15"/>
    <s v="Cognito"/>
    <s v="ap-south-1"/>
    <s v="CognitoUserPoolsRPSMo"/>
    <x v="60"/>
    <n v="20"/>
    <n v="80"/>
    <n v="1600"/>
    <n v="1600"/>
    <s v="Section F"/>
    <n v="0.22"/>
    <n v="1248"/>
  </r>
  <r>
    <n v="62"/>
    <x v="15"/>
    <s v="Cognito"/>
    <s v="ap-south-1"/>
    <s v="CognitoUserPoolsRPSMo"/>
    <x v="61"/>
    <n v="20"/>
    <n v="80"/>
    <n v="1600"/>
    <n v="1600"/>
    <s v="Section F"/>
    <n v="0.22"/>
    <n v="1248"/>
  </r>
  <r>
    <n v="63"/>
    <x v="15"/>
    <s v="Cognito"/>
    <s v="ap-south-1"/>
    <s v="CognitoUserPools-M2MTokens"/>
    <x v="62"/>
    <n v="1.1249999999999999E-3"/>
    <n v="45013571"/>
    <n v="50640.267374999996"/>
    <n v="50640.267374999996"/>
    <s v="Section F"/>
    <n v="0.22"/>
    <n v="39499.408552499997"/>
  </r>
  <r>
    <n v="64"/>
    <x v="15"/>
    <s v="Cognito"/>
    <s v="ap-south-1"/>
    <s v="CognitoUserPools-M2MTokens"/>
    <x v="63"/>
    <n v="1.5E-3"/>
    <n v="4729665"/>
    <n v="7094.4975000000004"/>
    <n v="7094.4975000000004"/>
    <s v="Section F"/>
    <n v="0.22"/>
    <n v="5533.7080500000002"/>
  </r>
  <r>
    <n v="65"/>
    <x v="15"/>
    <s v="Cognito"/>
    <s v="ap-south-1"/>
    <s v="CognitoUserPools-M2MTokens"/>
    <x v="64"/>
    <n v="2.2499999999999998E-3"/>
    <n v="223279"/>
    <n v="502.37774999999993"/>
    <n v="502.37774999999993"/>
    <s v="Section F"/>
    <n v="0.22"/>
    <n v="391.85464499999995"/>
  </r>
  <r>
    <n v="66"/>
    <x v="16"/>
    <s v="DevOps Guru"/>
    <s v="ap-south-1"/>
    <s v="usagehours"/>
    <x v="65"/>
    <n v="4.1999999999999997E-3"/>
    <n v="1488"/>
    <n v="6.2496"/>
    <n v="6.2496"/>
    <s v="Section F"/>
    <n v="0.22"/>
    <n v="4.8746879999999999"/>
  </r>
  <r>
    <n v="67"/>
    <x v="17"/>
    <s v="Elastic Compute Cloud"/>
    <s v="ap-south-1"/>
    <s v="GB-Mo"/>
    <x v="66"/>
    <n v="0.05"/>
    <n v="27580.787400000001"/>
    <n v="1379.0393700000002"/>
    <n v="1379.0393700000002"/>
    <s v="Section C"/>
    <n v="0.52500000000000002"/>
    <n v="655.04370075000008"/>
  </r>
  <r>
    <n v="68"/>
    <x v="17"/>
    <s v="Elastic Compute Cloud"/>
    <s v="ap-south-1"/>
    <s v="GB-Mo"/>
    <x v="67"/>
    <n v="0.114"/>
    <n v="21613.146491228072"/>
    <n v="2463.8987000000002"/>
    <n v="2463.8987000000002"/>
    <s v="Section C"/>
    <n v="0.52500000000000002"/>
    <n v="1170.3518825000001"/>
  </r>
  <r>
    <n v="69"/>
    <x v="17"/>
    <s v="Elastic Compute Cloud"/>
    <s v="ap-south-1"/>
    <s v="IOPS-Mo"/>
    <x v="68"/>
    <n v="5.7000000000000002E-3"/>
    <n v="39000"/>
    <n v="222.3"/>
    <n v="222.3"/>
    <s v="Section C"/>
    <n v="0.52500000000000002"/>
    <n v="105.5925"/>
  </r>
  <r>
    <n v="70"/>
    <x v="17"/>
    <s v="Elastic Compute Cloud"/>
    <s v="ap-south-1"/>
    <s v="GiBps-mo"/>
    <x v="69"/>
    <n v="4.5600000000000002E-2"/>
    <n v="562"/>
    <n v="25.627200000000002"/>
    <n v="25.627200000000002"/>
    <s v="Section C"/>
    <n v="0.52500000000000002"/>
    <n v="12.17292"/>
  </r>
  <r>
    <n v="71"/>
    <x v="17"/>
    <s v="Elastic Compute Cloud"/>
    <s v="ap-south-1"/>
    <s v="GB-Mo"/>
    <x v="70"/>
    <n v="9.1200000000000003E-2"/>
    <n v="23588"/>
    <n v="2151.2256000000002"/>
    <n v="2151.2256000000002"/>
    <s v="Section C"/>
    <n v="0.52500000000000002"/>
    <n v="1021.8321600000002"/>
  </r>
  <r>
    <n v="72"/>
    <x v="17"/>
    <s v="Elastic Compute Cloud"/>
    <s v="ap-south-1a"/>
    <s v="Hrs"/>
    <x v="71"/>
    <n v="0.34429999999999999"/>
    <n v="744"/>
    <n v="256.1592"/>
    <n v="256.1592"/>
    <s v="Section C"/>
    <n v="0.52500000000000002"/>
    <n v="121.67561999999998"/>
  </r>
  <r>
    <n v="73"/>
    <x v="17"/>
    <s v="Elastic Compute Cloud"/>
    <s v="ap-south-1a"/>
    <s v="Hrs"/>
    <x v="72"/>
    <n v="0.70799999999999996"/>
    <n v="744"/>
    <n v="526.75199999999995"/>
    <n v="526.75199999999995"/>
    <s v="Section C"/>
    <n v="0.52500000000000002"/>
    <n v="250.20719999999994"/>
  </r>
  <r>
    <n v="74"/>
    <x v="17"/>
    <s v="Elastic Compute Cloud"/>
    <s v="ap-south-1a"/>
    <s v="Hrs"/>
    <x v="73"/>
    <n v="0.77200000000000002"/>
    <n v="744"/>
    <n v="574.36800000000005"/>
    <n v="574.36800000000005"/>
    <s v="Section C"/>
    <n v="0.52500000000000002"/>
    <n v="272.82480000000004"/>
  </r>
  <r>
    <n v="75"/>
    <x v="17"/>
    <s v="Elastic Compute Cloud"/>
    <s v="ap-south-1a"/>
    <s v="Hrs"/>
    <x v="74"/>
    <n v="0.88800000000000001"/>
    <n v="744"/>
    <n v="660.67200000000003"/>
    <n v="660.67200000000003"/>
    <s v="Section C"/>
    <n v="0.52500000000000002"/>
    <n v="313.81920000000002"/>
  </r>
  <r>
    <n v="76"/>
    <x v="17"/>
    <s v="Elastic Compute Cloud"/>
    <s v="ap-south-1a"/>
    <s v="Hrs"/>
    <x v="75"/>
    <n v="5.2320000000000002"/>
    <n v="744"/>
    <n v="3892.6080000000002"/>
    <n v="3892.6080000000002"/>
    <s v="Section C"/>
    <n v="0.52500000000000002"/>
    <n v="1848.9888000000001"/>
  </r>
  <r>
    <n v="77"/>
    <x v="17"/>
    <s v="Elastic Compute Cloud"/>
    <s v="ap-south-1a"/>
    <s v="Hrs"/>
    <x v="76"/>
    <n v="5.3280000000000003"/>
    <n v="744"/>
    <n v="3964.0320000000002"/>
    <n v="3964.0320000000002"/>
    <s v="Section C"/>
    <n v="0.52500000000000002"/>
    <n v="1882.9151999999999"/>
  </r>
  <r>
    <n v="78"/>
    <x v="17"/>
    <s v="Elastic Compute Cloud"/>
    <s v="ap-south-1a"/>
    <s v="Hrs"/>
    <x v="77"/>
    <n v="7.8479999999999999"/>
    <n v="744"/>
    <n v="5838.9120000000003"/>
    <n v="5838.9120000000003"/>
    <s v="Section C"/>
    <n v="0.52500000000000002"/>
    <n v="2773.4832000000001"/>
  </r>
  <r>
    <n v="79"/>
    <x v="17"/>
    <s v="Elastic Compute Cloud"/>
    <s v="ap-south-1a"/>
    <s v="Hrs"/>
    <x v="78"/>
    <n v="1.2050000000000001"/>
    <n v="744"/>
    <n v="896.5200000000001"/>
    <n v="896.5200000000001"/>
    <s v="Section C"/>
    <n v="0.52500000000000002"/>
    <n v="425.84700000000004"/>
  </r>
  <r>
    <n v="80"/>
    <x v="17"/>
    <s v="Elastic Compute Cloud"/>
    <s v="ap-south-1a"/>
    <s v="Hrs"/>
    <x v="79"/>
    <n v="1.24E-2"/>
    <n v="743.66935483870975"/>
    <n v="9.2215000000000007"/>
    <n v="9.2215000000000007"/>
    <s v="Section C"/>
    <n v="0.52500000000000002"/>
    <n v="4.3802124999999998"/>
  </r>
  <r>
    <n v="81"/>
    <x v="17"/>
    <s v="Elastic Compute Cloud"/>
    <s v="ap-south-1a"/>
    <s v="Hrs"/>
    <x v="80"/>
    <n v="0.34079999999999999"/>
    <n v="744"/>
    <n v="253.55519999999999"/>
    <n v="253.55519999999999"/>
    <s v="Section C"/>
    <n v="0.52500000000000002"/>
    <n v="120.43871999999999"/>
  </r>
  <r>
    <n v="82"/>
    <x v="17"/>
    <s v="Elastic Compute Cloud"/>
    <s v="ap-south-1a"/>
    <s v="Hrs"/>
    <x v="81"/>
    <n v="0.40400000000000003"/>
    <n v="1488"/>
    <n v="601.15200000000004"/>
    <n v="601.15200000000004"/>
    <s v="Section C"/>
    <n v="0.52500000000000002"/>
    <n v="285.54720000000003"/>
  </r>
  <r>
    <n v="83"/>
    <x v="17"/>
    <s v="Elastic Compute Cloud"/>
    <s v="ap-south-1a"/>
    <s v="Hrs"/>
    <x v="82"/>
    <n v="0.52"/>
    <n v="744"/>
    <n v="386.88"/>
    <n v="386.88"/>
    <s v="Section C"/>
    <n v="0.52500000000000002"/>
    <n v="183.768"/>
  </r>
  <r>
    <n v="84"/>
    <x v="17"/>
    <s v="Elastic Compute Cloud"/>
    <s v="ap-south-1a"/>
    <s v="Hrs"/>
    <x v="83"/>
    <n v="0.68159999999999998"/>
    <n v="744"/>
    <n v="507.11039999999997"/>
    <n v="507.11039999999997"/>
    <s v="Section C"/>
    <n v="0.52500000000000002"/>
    <n v="240.87743999999998"/>
  </r>
  <r>
    <n v="85"/>
    <x v="17"/>
    <s v="Elastic Compute Cloud"/>
    <s v="ap-south-1a"/>
    <s v="Hrs"/>
    <x v="84"/>
    <n v="0.68"/>
    <n v="1488"/>
    <n v="1011.84"/>
    <n v="1011.84"/>
    <s v="Section C"/>
    <n v="0.52500000000000002"/>
    <n v="480.62400000000002"/>
  </r>
  <r>
    <n v="86"/>
    <x v="17"/>
    <s v="Elastic Compute Cloud"/>
    <s v="ap-south-1a"/>
    <s v="Hrs"/>
    <x v="85"/>
    <n v="0.80800000000000005"/>
    <n v="24224.859100000001"/>
    <n v="19573.686152800001"/>
    <n v="19573.686152800001"/>
    <s v="Section C"/>
    <n v="0.52500000000000002"/>
    <n v="9297.5009225800004"/>
  </r>
  <r>
    <n v="87"/>
    <x v="17"/>
    <s v="Elastic Compute Cloud"/>
    <s v="ap-south-1a"/>
    <s v="Hrs"/>
    <x v="86"/>
    <n v="1.04"/>
    <n v="135547.22080000001"/>
    <n v="140969.10963200001"/>
    <n v="140969.10963200001"/>
    <s v="Section C"/>
    <n v="0.52500000000000002"/>
    <n v="66960.327075199995"/>
  </r>
  <r>
    <n v="88"/>
    <x v="17"/>
    <s v="Elastic Compute Cloud"/>
    <s v="ap-south-1a"/>
    <s v="Hrs"/>
    <x v="87"/>
    <n v="3.2320000000000002"/>
    <n v="448.47137995049502"/>
    <n v="1449.4594999999999"/>
    <n v="1449.4594999999999"/>
    <s v="Section C"/>
    <n v="0.52500000000000002"/>
    <n v="688.4932624999999"/>
  </r>
  <r>
    <n v="89"/>
    <x v="17"/>
    <s v="Elastic Compute Cloud"/>
    <s v="ap-south-1b"/>
    <s v="Hrs"/>
    <x v="88"/>
    <n v="0.10100000000000001"/>
    <n v="743.47609999999997"/>
    <n v="75.091086099999998"/>
    <n v="75.091086099999998"/>
    <s v="Section C"/>
    <n v="0.52500000000000002"/>
    <n v="35.6682658975"/>
  </r>
  <r>
    <n v="90"/>
    <x v="17"/>
    <s v="Elastic Compute Cloud"/>
    <s v="ap-south-1c"/>
    <s v="Hrs"/>
    <x v="89"/>
    <n v="0.20200000000000001"/>
    <n v="744"/>
    <n v="150.28800000000001"/>
    <n v="150.28800000000001"/>
    <s v="Section C"/>
    <n v="0.52500000000000002"/>
    <n v="71.386800000000008"/>
  </r>
  <r>
    <n v="91"/>
    <x v="18"/>
    <s v="EC2 Container Registry (ECR)"/>
    <s v="ap-south-1"/>
    <s v="GB-Mo"/>
    <x v="90"/>
    <n v="0.1"/>
    <n v="404.68400000000003"/>
    <n v="40.468400000000003"/>
    <n v="40.468400000000003"/>
    <s v="Section C"/>
    <n v="0.52500000000000002"/>
    <n v="19.222490000000001"/>
  </r>
  <r>
    <n v="92"/>
    <x v="19"/>
    <s v="Elastic File System"/>
    <s v="ap-south-1"/>
    <s v="GB-Mo"/>
    <x v="91"/>
    <n v="0.01"/>
    <n v="5.26"/>
    <n v="5.2600000000000001E-2"/>
    <n v="5.2600000000000001E-2"/>
    <s v="Section C"/>
    <n v="0.52500000000000002"/>
    <n v="2.4985E-2"/>
  </r>
  <r>
    <n v="93"/>
    <x v="19"/>
    <s v="Elastic File System"/>
    <s v="ap-south-1"/>
    <s v="GB-Mo"/>
    <x v="92"/>
    <n v="0.02"/>
    <n v="2.5000000000000001E-2"/>
    <n v="5.0000000000000001E-4"/>
    <n v="5.0000000000000001E-4"/>
    <s v="Section C"/>
    <n v="0.52500000000000002"/>
    <n v="2.3749999999999997E-4"/>
  </r>
  <r>
    <n v="94"/>
    <x v="19"/>
    <s v="Elastic File System"/>
    <s v="ap-south-1"/>
    <s v="GB"/>
    <x v="93"/>
    <n v="3.3000000000000002E-2"/>
    <n v="9.0909090909090905E-3"/>
    <n v="2.9999999999999997E-4"/>
    <n v="2.9999999999999997E-4"/>
    <s v="Section C"/>
    <n v="0.52500000000000002"/>
    <n v="1.4249999999999999E-4"/>
  </r>
  <r>
    <n v="95"/>
    <x v="19"/>
    <s v="Elastic File System"/>
    <s v="ap-south-1"/>
    <s v="GB"/>
    <x v="94"/>
    <n v="0.03"/>
    <n v="11.198499999999999"/>
    <n v="0.33595499999999995"/>
    <n v="0.33595499999999995"/>
    <s v="Section C"/>
    <n v="0.52500000000000002"/>
    <n v="0.15957862499999997"/>
  </r>
  <r>
    <n v="96"/>
    <x v="19"/>
    <s v="Elastic File System"/>
    <s v="ap-south-1"/>
    <s v="GB-Mo"/>
    <x v="95"/>
    <n v="0.01"/>
    <n v="12.590000000000002"/>
    <n v="0.12590000000000001"/>
    <n v="0.12590000000000001"/>
    <s v="Section C"/>
    <n v="0.52500000000000002"/>
    <n v="5.9802500000000008E-2"/>
  </r>
  <r>
    <n v="97"/>
    <x v="19"/>
    <s v="Elastic File System"/>
    <s v="ap-south-1"/>
    <s v="GB-Mo"/>
    <x v="96"/>
    <n v="0.02"/>
    <n v="11.6837"/>
    <n v="0.23367399999999999"/>
    <n v="0.23367399999999999"/>
    <s v="Section C"/>
    <n v="0.52500000000000002"/>
    <n v="0.11099514999999999"/>
  </r>
  <r>
    <n v="98"/>
    <x v="19"/>
    <s v="Elastic File System"/>
    <s v="ap-south-1"/>
    <s v="GB-Mo"/>
    <x v="97"/>
    <n v="0.33"/>
    <n v="3.5506060606060603"/>
    <n v="1.1717"/>
    <n v="1.1717"/>
    <s v="Section C"/>
    <n v="0.52500000000000002"/>
    <n v="0.55655749999999993"/>
  </r>
  <r>
    <n v="99"/>
    <x v="19"/>
    <s v="Elastic File System"/>
    <s v="ap-south-1"/>
    <s v="GB"/>
    <x v="98"/>
    <n v="1.0999999999999999E-2"/>
    <n v="2.1363636363636367"/>
    <n v="2.3500000000000004E-2"/>
    <n v="2.3500000000000004E-2"/>
    <s v="Section C"/>
    <n v="0.52500000000000002"/>
    <n v="1.1162500000000001E-2"/>
  </r>
  <r>
    <n v="100"/>
    <x v="19"/>
    <s v="Elastic File System"/>
    <s v="ap-south-1"/>
    <s v="GB"/>
    <x v="99"/>
    <n v="7.0000000000000007E-2"/>
    <n v="72.549800000000005"/>
    <n v="5.0784860000000007"/>
    <n v="5.0784860000000007"/>
    <s v="Section C"/>
    <n v="0.52500000000000002"/>
    <n v="2.4122808500000001"/>
  </r>
  <r>
    <n v="101"/>
    <x v="20"/>
    <s v="Elastic Container Service for Kubernetes"/>
    <s v="ap-south-1"/>
    <s v="Hours"/>
    <x v="100"/>
    <n v="9.9999999999999992E-2"/>
    <n v="4464"/>
    <n v="446.4"/>
    <n v="446.4"/>
    <s v="Section C"/>
    <n v="0.52500000000000002"/>
    <n v="212.04"/>
  </r>
  <r>
    <n v="102"/>
    <x v="20"/>
    <s v="Elastic Container Service for Kubernetes"/>
    <s v="ap-south-1"/>
    <s v="Hours"/>
    <x v="101"/>
    <n v="0.5"/>
    <n v="4464"/>
    <n v="2232"/>
    <n v="2232"/>
    <s v="Section C"/>
    <n v="0.52500000000000002"/>
    <n v="1060.2"/>
  </r>
  <r>
    <n v="103"/>
    <x v="21"/>
    <s v="ElastiCache"/>
    <s v="ap-south-1"/>
    <s v="Hrs"/>
    <x v="102"/>
    <n v="0.84399999999999997"/>
    <n v="1488"/>
    <n v="1255.8720000000001"/>
    <n v="1255.8720000000001"/>
    <s v="Section C"/>
    <n v="0.52500000000000002"/>
    <n v="596.53920000000005"/>
  </r>
  <r>
    <n v="104"/>
    <x v="21"/>
    <s v="ElastiCache"/>
    <s v="ap-south-1"/>
    <s v="Hrs"/>
    <x v="103"/>
    <n v="0.88900000000000001"/>
    <n v="744"/>
    <n v="661.41600000000005"/>
    <n v="661.41600000000005"/>
    <s v="Section C"/>
    <n v="0.52500000000000002"/>
    <n v="314.17259999999999"/>
  </r>
  <r>
    <n v="105"/>
    <x v="21"/>
    <s v="ElastiCache"/>
    <s v="ap-south-1"/>
    <s v="Hrs"/>
    <x v="104"/>
    <n v="1.6879999999999999"/>
    <n v="2976"/>
    <n v="5023.4880000000003"/>
    <n v="5023.4880000000003"/>
    <s v="Section C"/>
    <n v="0.52500000000000002"/>
    <n v="2386.1568000000002"/>
  </r>
  <r>
    <n v="106"/>
    <x v="21"/>
    <s v="ElastiCache"/>
    <s v="ap-south-1"/>
    <s v="Hrs"/>
    <x v="105"/>
    <n v="1.778"/>
    <n v="1488"/>
    <n v="2645.6640000000002"/>
    <n v="2645.6640000000002"/>
    <s v="Section C"/>
    <n v="0.52500000000000002"/>
    <n v="1256.6904"/>
  </r>
  <r>
    <n v="107"/>
    <x v="21"/>
    <s v="ElastiCache"/>
    <s v="ap-south-1"/>
    <s v="GB-Mo"/>
    <x v="106"/>
    <n v="8.5000000000000006E-2"/>
    <n v="0.1196"/>
    <n v="1.0166000000000001E-2"/>
    <n v="1.0166000000000001E-2"/>
    <s v="Section C"/>
    <n v="0.52500000000000002"/>
    <n v="4.8288500000000008E-3"/>
  </r>
  <r>
    <n v="108"/>
    <x v="22"/>
    <s v="GuardDuty"/>
    <s v="ap-south-1"/>
    <s v="Events"/>
    <x v="107"/>
    <n v="5.0000000260753267E-7"/>
    <n v="2684530186"/>
    <n v="1342.2651000000001"/>
    <n v="1342.2651000000001"/>
    <s v="Section F"/>
    <n v="0.22"/>
    <n v="1046.966778"/>
  </r>
  <r>
    <n v="109"/>
    <x v="22"/>
    <s v="GuardDuty"/>
    <s v="ap-south-1"/>
    <s v="Events"/>
    <x v="108"/>
    <n v="9.9999999999999995E-7"/>
    <n v="481032485"/>
    <n v="481.03248499999995"/>
    <n v="481.03248499999995"/>
    <s v="Section F"/>
    <n v="0.22"/>
    <n v="375.20533829999999"/>
  </r>
  <r>
    <n v="110"/>
    <x v="22"/>
    <s v="GuardDuty"/>
    <s v="ap-south-1"/>
    <s v="Events"/>
    <x v="109"/>
    <n v="4.4000000000000002E-6"/>
    <n v="36855110"/>
    <n v="162.16248400000001"/>
    <n v="162.16248400000001"/>
    <s v="Section F"/>
    <n v="0.22"/>
    <n v="126.48673752000001"/>
  </r>
  <r>
    <n v="111"/>
    <x v="22"/>
    <s v="GuardDuty"/>
    <s v="ap-south-1"/>
    <s v="Events"/>
    <x v="110"/>
    <n v="2.7099999999999997E-4"/>
    <n v="282011843"/>
    <n v="76425.209452999989"/>
    <n v="76425.209452999989"/>
    <s v="Section F"/>
    <n v="0.22"/>
    <n v="59611.663373339994"/>
  </r>
  <r>
    <n v="112"/>
    <x v="22"/>
    <s v="GuardDuty"/>
    <s v="ap-south-1"/>
    <s v="GB"/>
    <x v="111"/>
    <n v="0.1125"/>
    <n v="29593.645333333334"/>
    <n v="3329.2851000000001"/>
    <n v="3329.2851000000001"/>
    <s v="Section F"/>
    <n v="0.22"/>
    <n v="2596.8423780000003"/>
  </r>
  <r>
    <n v="113"/>
    <x v="22"/>
    <s v="GuardDuty"/>
    <s v="ap-south-1"/>
    <s v="GB"/>
    <x v="112"/>
    <n v="0.55000000000000004"/>
    <n v="780.12379999999996"/>
    <n v="429.06809000000004"/>
    <n v="429.06809000000004"/>
    <s v="Section F"/>
    <n v="0.22"/>
    <n v="334.6731102"/>
  </r>
  <r>
    <n v="114"/>
    <x v="22"/>
    <s v="GuardDuty"/>
    <s v="ap-south-1"/>
    <s v="GB"/>
    <x v="113"/>
    <n v="1.1000000000000001"/>
    <n v="342.89827272727274"/>
    <n v="377.18810000000002"/>
    <n v="377.18810000000002"/>
    <s v="Section F"/>
    <n v="0.22"/>
    <n v="294.20671800000002"/>
  </r>
  <r>
    <n v="115"/>
    <x v="23"/>
    <s v="Inspector"/>
    <s v="ap-south-1"/>
    <s v="Hourly"/>
    <x v="114"/>
    <n v="5.0000000000000001E-4"/>
    <n v="20088"/>
    <n v="10.044"/>
    <n v="10.044"/>
    <s v="Section F"/>
    <n v="0.22"/>
    <n v="7.83432"/>
  </r>
  <r>
    <n v="116"/>
    <x v="23"/>
    <s v="Inspector"/>
    <s v="ap-south-1"/>
    <s v="Instance-hrs"/>
    <x v="115"/>
    <n v="2.0999999999999999E-3"/>
    <n v="172533.54889999999"/>
    <n v="362.32045268999997"/>
    <n v="362.32045268999997"/>
    <s v="Section F"/>
    <n v="0.22"/>
    <n v="282.60995309819998"/>
  </r>
  <r>
    <n v="117"/>
    <x v="23"/>
    <s v="Inspector"/>
    <s v="ap-south-1"/>
    <s v="Resource-assessment"/>
    <x v="116"/>
    <n v="0.01"/>
    <n v="9396"/>
    <n v="93.960000000000008"/>
    <n v="93.960000000000008"/>
    <s v="Section F"/>
    <n v="0.22"/>
    <n v="73.288800000000009"/>
  </r>
  <r>
    <n v="118"/>
    <x v="23"/>
    <s v="Inspector"/>
    <s v="ap-south-1"/>
    <s v="Resource-assessment"/>
    <x v="117"/>
    <n v="0.11"/>
    <n v="230"/>
    <n v="25.3"/>
    <n v="25.3"/>
    <s v="Section F"/>
    <n v="0.22"/>
    <n v="19.734000000000002"/>
  </r>
  <r>
    <n v="119"/>
    <x v="24"/>
    <s v="Location Service"/>
    <s v="ap-south-1"/>
    <s v="API Request"/>
    <x v="118"/>
    <n v="0.01"/>
    <n v="9.0000000000000011E-2"/>
    <n v="9.0000000000000008E-4"/>
    <n v="9.0000000000000008E-4"/>
    <s v="Section F"/>
    <n v="0.22"/>
    <n v="7.0200000000000004E-4"/>
  </r>
  <r>
    <n v="120"/>
    <x v="25"/>
    <s v="Managed Streaming for Apache Kafka"/>
    <s v="ap-south-1"/>
    <s v="hours"/>
    <x v="119"/>
    <n v="0.221"/>
    <n v="1488"/>
    <n v="328.84800000000001"/>
    <n v="328.84800000000001"/>
    <s v="Section B"/>
    <n v="0.22"/>
    <n v="256.50144"/>
  </r>
  <r>
    <n v="121"/>
    <x v="25"/>
    <s v="Managed Streaming for Apache Kafka"/>
    <s v="ap-south-1"/>
    <s v="hours"/>
    <x v="120"/>
    <n v="1.768"/>
    <n v="11904"/>
    <n v="21046.272000000001"/>
    <n v="21046.272000000001"/>
    <s v="Section B"/>
    <n v="0.22"/>
    <n v="16416.09216"/>
  </r>
  <r>
    <n v="122"/>
    <x v="25"/>
    <s v="Managed Streaming for Apache Kafka"/>
    <s v="ap-south-1"/>
    <s v="GB-Mo"/>
    <x v="121"/>
    <n v="0.114"/>
    <n v="17000"/>
    <n v="1938"/>
    <n v="1938"/>
    <s v="Section B"/>
    <n v="0.22"/>
    <n v="1511.6399999999999"/>
  </r>
  <r>
    <n v="123"/>
    <x v="26"/>
    <s v="QuickSight"/>
    <s v="ap-south-1"/>
    <s v="Month"/>
    <x v="122"/>
    <n v="250"/>
    <n v="1"/>
    <n v="250"/>
    <n v="250"/>
    <s v="Section B"/>
    <n v="0.22"/>
    <n v="195"/>
  </r>
  <r>
    <n v="124"/>
    <x v="26"/>
    <s v="QuickSight"/>
    <s v="ap-south-1"/>
    <s v="User"/>
    <x v="123"/>
    <n v="24"/>
    <n v="8"/>
    <n v="192"/>
    <n v="192"/>
    <s v="Section B"/>
    <n v="0.22"/>
    <n v="149.76"/>
  </r>
  <r>
    <n v="125"/>
    <x v="27"/>
    <s v="Relational Database Service"/>
    <s v="ap-south-1"/>
    <s v="GB-Mo"/>
    <x v="124"/>
    <n v="2.3E-2"/>
    <n v="545.73869999999999"/>
    <n v="12.551990099999999"/>
    <n v="12.551990099999999"/>
    <s v="Section C"/>
    <n v="0.52500000000000002"/>
    <n v="5.9621952974999992"/>
  </r>
  <r>
    <n v="126"/>
    <x v="27"/>
    <s v="Relational Database Service"/>
    <s v="ap-south-1"/>
    <s v="Hrs"/>
    <x v="125"/>
    <n v="0.66"/>
    <n v="1488"/>
    <n v="982.08"/>
    <n v="982.08"/>
    <s v="Section C"/>
    <n v="0.52500000000000002"/>
    <n v="466.48799999999994"/>
  </r>
  <r>
    <n v="127"/>
    <x v="27"/>
    <s v="Relational Database Service"/>
    <s v="ap-south-1"/>
    <s v="Hrs"/>
    <x v="126"/>
    <n v="2.64"/>
    <n v="1488"/>
    <n v="3928.32"/>
    <n v="3928.32"/>
    <s v="Section C"/>
    <n v="0.52500000000000002"/>
    <n v="1865.9519999999998"/>
  </r>
  <r>
    <n v="128"/>
    <x v="27"/>
    <s v="Relational Database Service"/>
    <s v="ap-south-1"/>
    <s v="GB-Mo"/>
    <x v="127"/>
    <n v="2.3E-2"/>
    <n v="214811.43043478261"/>
    <n v="4940.6629000000003"/>
    <n v="4940.6629000000003"/>
    <s v="Section C"/>
    <n v="0.52500000000000002"/>
    <n v="2346.8148775"/>
  </r>
  <r>
    <n v="129"/>
    <x v="27"/>
    <s v="Relational Database Service"/>
    <s v="ap-south-1"/>
    <s v="GB-Mo"/>
    <x v="128"/>
    <n v="0.11"/>
    <n v="39496.1224"/>
    <n v="4344.5734640000001"/>
    <n v="4344.5734640000001"/>
    <s v="Section C"/>
    <n v="0.52500000000000002"/>
    <n v="2063.6723953999999"/>
  </r>
  <r>
    <n v="130"/>
    <x v="27"/>
    <s v="Relational Database Service"/>
    <s v="ap-south-1"/>
    <s v="IOs"/>
    <x v="129"/>
    <n v="0.22"/>
    <n v="617658.93181818177"/>
    <n v="135884.965"/>
    <n v="135884.965"/>
    <s v="Section C"/>
    <n v="0.52500000000000002"/>
    <n v="64545.358374999996"/>
  </r>
  <r>
    <n v="131"/>
    <x v="27"/>
    <s v="Relational Database Service"/>
    <s v="ap-south-1"/>
    <s v="GB-Mo"/>
    <x v="130"/>
    <n v="0.248"/>
    <n v="9139.5310000000009"/>
    <n v="2266.6036880000001"/>
    <n v="2266.6036880000001"/>
    <s v="Section C"/>
    <n v="0.52500000000000002"/>
    <n v="1076.6367518"/>
  </r>
  <r>
    <n v="132"/>
    <x v="27"/>
    <s v="Relational Database Service"/>
    <s v="ap-south-1"/>
    <s v="Hrs"/>
    <x v="131"/>
    <n v="0.66"/>
    <n v="1488"/>
    <n v="982.08"/>
    <n v="982.08"/>
    <s v="Section C"/>
    <n v="0.52500000000000002"/>
    <n v="466.48799999999994"/>
  </r>
  <r>
    <n v="133"/>
    <x v="27"/>
    <s v="Relational Database Service"/>
    <s v="ap-south-1"/>
    <s v="Hrs"/>
    <x v="132"/>
    <n v="1.32"/>
    <n v="54312"/>
    <n v="71691.839999999997"/>
    <n v="71691.839999999997"/>
    <s v="Section C"/>
    <n v="0.52500000000000002"/>
    <n v="34053.623999999996"/>
  </r>
  <r>
    <n v="134"/>
    <x v="27"/>
    <s v="Relational Database Service"/>
    <s v="ap-south-1"/>
    <s v="Hrs"/>
    <x v="133"/>
    <n v="1.716"/>
    <n v="1488"/>
    <n v="2553.4079999999999"/>
    <n v="2553.4079999999999"/>
    <s v="Section C"/>
    <n v="0.52500000000000002"/>
    <n v="1212.8688"/>
  </r>
  <r>
    <n v="135"/>
    <x v="27"/>
    <s v="Relational Database Service"/>
    <s v="ap-south-1"/>
    <s v="Hrs"/>
    <x v="134"/>
    <n v="10.56"/>
    <n v="449.76830000000001"/>
    <n v="4749.5532480000002"/>
    <n v="4749.5532480000002"/>
    <s v="Section C"/>
    <n v="0.52500000000000002"/>
    <n v="2256.0377927999998"/>
  </r>
  <r>
    <n v="136"/>
    <x v="27"/>
    <s v="Relational Database Service"/>
    <s v="ap-south-1"/>
    <s v="Hrs"/>
    <x v="135"/>
    <n v="2.64"/>
    <n v="16368"/>
    <n v="43211.520000000004"/>
    <n v="43211.520000000004"/>
    <s v="Section C"/>
    <n v="0.52500000000000002"/>
    <n v="20525.472000000002"/>
  </r>
  <r>
    <n v="137"/>
    <x v="27"/>
    <s v="Relational Database Service"/>
    <s v="ap-south-1"/>
    <s v="Hrs"/>
    <x v="136"/>
    <n v="3.4319999999999999"/>
    <n v="744"/>
    <n v="2553.4079999999999"/>
    <n v="2553.4079999999999"/>
    <s v="Section C"/>
    <n v="0.52500000000000002"/>
    <n v="1212.8688"/>
  </r>
  <r>
    <n v="138"/>
    <x v="27"/>
    <s v="Relational Database Service"/>
    <s v="ap-south-1"/>
    <s v="Hrs"/>
    <x v="137"/>
    <n v="5.28"/>
    <n v="7734.2313825757574"/>
    <n v="40836.741699999999"/>
    <n v="40836.741699999999"/>
    <s v="Section C"/>
    <n v="0.52500000000000002"/>
    <n v="19397.4523075"/>
  </r>
  <r>
    <n v="139"/>
    <x v="27"/>
    <s v="Relational Database Service"/>
    <s v="ap-south-1"/>
    <s v="Hrs"/>
    <x v="138"/>
    <n v="6.8639999999999999"/>
    <n v="1488"/>
    <n v="10213.632"/>
    <n v="10213.632"/>
    <s v="Section C"/>
    <n v="0.52500000000000002"/>
    <n v="4851.4751999999999"/>
  </r>
  <r>
    <n v="140"/>
    <x v="27"/>
    <s v="Relational Database Service"/>
    <s v="ap-south-1"/>
    <s v="GB-Mo"/>
    <x v="139"/>
    <n v="0.11"/>
    <n v="516.53430000000003"/>
    <n v="56.818773"/>
    <n v="56.818773"/>
    <s v="Section C"/>
    <n v="0.52500000000000002"/>
    <n v="26.988917174999997"/>
  </r>
  <r>
    <n v="141"/>
    <x v="27"/>
    <s v="Relational Database Service"/>
    <s v="ap-south-1"/>
    <s v="IOs"/>
    <x v="140"/>
    <n v="0.22"/>
    <n v="44.061363636363637"/>
    <n v="9.6935000000000002"/>
    <n v="9.6935000000000002"/>
    <s v="Section C"/>
    <n v="0.52500000000000002"/>
    <n v="4.6044124999999996"/>
  </r>
  <r>
    <n v="142"/>
    <x v="28"/>
    <s v="Redshift"/>
    <s v="ap-south-1"/>
    <s v="GB-Mo"/>
    <x v="141"/>
    <n v="2.6099997544076273E-2"/>
    <n v="10847.242399999999"/>
    <n v="283.113"/>
    <n v="283.113"/>
    <s v="Section B"/>
    <n v="0.22"/>
    <n v="220.82813999999999"/>
  </r>
  <r>
    <n v="143"/>
    <x v="28"/>
    <s v="Redshift"/>
    <s v="ap-south-1"/>
    <s v="Hrs"/>
    <x v="142"/>
    <n v="1.2350000000000001"/>
    <n v="5947.9221862348177"/>
    <n v="7345.6839"/>
    <n v="7345.6839"/>
    <s v="Section B"/>
    <n v="0.22"/>
    <n v="5729.6334420000003"/>
  </r>
  <r>
    <n v="144"/>
    <x v="29"/>
    <s v="Simple Storage Service"/>
    <s v="ap-south-1"/>
    <s v="Requests"/>
    <x v="143"/>
    <n v="5.0000000000000001E-3"/>
    <n v="911437.58"/>
    <n v="4557.1878999999999"/>
    <n v="4557.1878999999999"/>
    <s v="Section C"/>
    <n v="0.52500000000000002"/>
    <n v="2164.6642524999997"/>
  </r>
  <r>
    <n v="145"/>
    <x v="30"/>
    <s v="S3 Glacier Deep Archive"/>
    <s v="ap-south-1"/>
    <s v="GB-Mo"/>
    <x v="144"/>
    <n v="2E-3"/>
    <n v="2827.4978999999998"/>
    <n v="5.6549958"/>
    <n v="5.6549958"/>
    <s v="Section C"/>
    <n v="0.52500000000000002"/>
    <n v="2.6861230049999998"/>
  </r>
  <r>
    <n v="146"/>
    <x v="29"/>
    <s v="Simple Storage Service"/>
    <s v="ap-south-1"/>
    <s v="GB-Mo"/>
    <x v="145"/>
    <n v="2.3E-2"/>
    <n v="2184532.9600999998"/>
    <n v="50244.258082299995"/>
    <n v="50244.258082299995"/>
    <s v="Section C"/>
    <n v="0.52500000000000002"/>
    <n v="23866.022589092496"/>
  </r>
  <r>
    <n v="147"/>
    <x v="29"/>
    <s v="Simple Storage Service"/>
    <s v="ap-south-1"/>
    <s v="GB-Mo"/>
    <x v="146"/>
    <n v="2.4E-2"/>
    <n v="404313.68333333335"/>
    <n v="9703.5284000000011"/>
    <n v="9703.5284000000011"/>
    <s v="Section C"/>
    <n v="0.52500000000000002"/>
    <n v="4609.1759900000006"/>
  </r>
  <r>
    <n v="148"/>
    <x v="30"/>
    <s v="S3 Glacier Deep Archive"/>
    <s v="ap-south-1"/>
    <s v="GB-Mo"/>
    <x v="147"/>
    <n v="2E-3"/>
    <n v="230.07990000000001"/>
    <n v="0.46015980000000001"/>
    <n v="0.46015980000000001"/>
    <s v="Section C"/>
    <n v="0.52500000000000002"/>
    <n v="0.21857590499999999"/>
  </r>
  <r>
    <n v="149"/>
    <x v="29"/>
    <s v="Simple Storage Service"/>
    <s v="ap-south-1"/>
    <s v="GB-Mo"/>
    <x v="148"/>
    <n v="5.0000000000000001E-3"/>
    <n v="5.9999999999999991E-2"/>
    <n v="2.9999999999999997E-4"/>
    <n v="2.9999999999999997E-4"/>
    <s v="Section C"/>
    <n v="0.52500000000000002"/>
    <n v="1.4249999999999999E-4"/>
  </r>
  <r>
    <n v="150"/>
    <x v="29"/>
    <s v="Simple Storage Service"/>
    <s v="ap-south-1"/>
    <s v="Requests"/>
    <x v="149"/>
    <n v="0.03"/>
    <n v="0.03"/>
    <n v="8.9999999999999998E-4"/>
    <n v="8.9999999999999998E-4"/>
    <s v="Section C"/>
    <n v="0.52500000000000002"/>
    <n v="4.2749999999999998E-4"/>
  </r>
  <r>
    <n v="151"/>
    <x v="29"/>
    <s v="Simple Storage Service"/>
    <s v="ap-south-1"/>
    <s v="Requests"/>
    <x v="150"/>
    <n v="0.03"/>
    <n v="6.3333333333333339E-2"/>
    <n v="1.9E-3"/>
    <n v="1.9E-3"/>
    <s v="Section C"/>
    <n v="0.52500000000000002"/>
    <n v="9.0249999999999987E-4"/>
  </r>
  <r>
    <n v="152"/>
    <x v="29"/>
    <s v="Simple Storage Service"/>
    <s v="ap-south-1"/>
    <s v="Requests"/>
    <x v="151"/>
    <n v="0.03"/>
    <n v="0.03"/>
    <n v="8.9999999999999998E-4"/>
    <n v="8.9999999999999998E-4"/>
    <s v="Section C"/>
    <n v="0.52500000000000002"/>
    <n v="4.2749999999999998E-4"/>
  </r>
  <r>
    <n v="153"/>
    <x v="29"/>
    <s v="Simple Storage Service"/>
    <s v="us-east-1"/>
    <s v="Requests"/>
    <x v="152"/>
    <n v="4.0000000000000001E-3"/>
    <n v="358090.59999999992"/>
    <n v="1432.3623999999998"/>
    <n v="1432.3623999999998"/>
    <s v="Section C"/>
    <n v="0.52500000000000002"/>
    <n v="680.37213999999983"/>
  </r>
  <r>
    <n v="154"/>
    <x v="29"/>
    <s v="Simple Storage Service"/>
    <s v="ap-south-1"/>
    <s v="GB"/>
    <x v="153"/>
    <n v="0.03"/>
    <n v="37330.248800000001"/>
    <n v="1119.9074639999999"/>
    <n v="1119.9074639999999"/>
    <s v="Section C"/>
    <n v="0.52500000000000002"/>
    <n v="531.95604539999988"/>
  </r>
  <r>
    <n v="155"/>
    <x v="29"/>
    <s v="Simple Storage Service"/>
    <s v="ap-south-1"/>
    <s v="Requests"/>
    <x v="154"/>
    <n v="0.1"/>
    <n v="765.92499999999995"/>
    <n v="76.592500000000001"/>
    <n v="76.592500000000001"/>
    <s v="Section C"/>
    <n v="0.52500000000000002"/>
    <n v="36.381437499999997"/>
  </r>
  <r>
    <n v="156"/>
    <x v="29"/>
    <s v="Simple Storage Service"/>
    <s v="ap-south-1"/>
    <s v="GB-Mo"/>
    <x v="155"/>
    <n v="5.0000000000000001E-3"/>
    <n v="2041681.7200000002"/>
    <n v="10208.408600000001"/>
    <n v="10208.408600000001"/>
    <s v="Section C"/>
    <n v="0.52500000000000002"/>
    <n v="4848.9940850000003"/>
  </r>
  <r>
    <n v="157"/>
    <x v="29"/>
    <s v="Simple Storage Service"/>
    <s v="us-east-1"/>
    <s v="GB-Mo"/>
    <x v="156"/>
    <n v="4.0000000000000001E-3"/>
    <n v="0.1676"/>
    <n v="6.7040000000000003E-4"/>
    <n v="6.7040000000000003E-4"/>
    <s v="Section C"/>
    <n v="0.52500000000000002"/>
    <n v="3.1844000000000002E-4"/>
  </r>
  <r>
    <n v="158"/>
    <x v="29"/>
    <s v="Simple Storage Service"/>
    <s v="ap-south-1"/>
    <s v="Requests"/>
    <x v="157"/>
    <n v="0.03"/>
    <n v="0.06"/>
    <n v="1.8E-3"/>
    <n v="1.8E-3"/>
    <s v="Section C"/>
    <n v="0.52500000000000002"/>
    <n v="8.5499999999999997E-4"/>
  </r>
  <r>
    <n v="159"/>
    <x v="29"/>
    <s v="Simple Storage Service"/>
    <s v="ap-south-1"/>
    <s v="Requests"/>
    <x v="158"/>
    <n v="0.03"/>
    <n v="0.06"/>
    <n v="1.8E-3"/>
    <n v="1.8E-3"/>
    <s v="Section C"/>
    <n v="0.52500000000000002"/>
    <n v="8.5499999999999997E-4"/>
  </r>
  <r>
    <n v="160"/>
    <x v="29"/>
    <s v="Simple Storage Service"/>
    <s v="ap-south-1"/>
    <s v="Requests"/>
    <x v="159"/>
    <n v="0.03"/>
    <n v="0.06"/>
    <n v="1.8E-3"/>
    <n v="1.8E-3"/>
    <s v="Section C"/>
    <n v="0.52500000000000002"/>
    <n v="8.5499999999999997E-4"/>
  </r>
  <r>
    <n v="161"/>
    <x v="29"/>
    <s v="Simple Storage Service"/>
    <s v="ap-south-1"/>
    <s v="Requests"/>
    <x v="160"/>
    <n v="5.0000000000000001E-3"/>
    <n v="0.11999999999999998"/>
    <n v="5.9999999999999995E-4"/>
    <n v="5.9999999999999995E-4"/>
    <s v="Section C"/>
    <n v="0.52500000000000002"/>
    <n v="2.8499999999999999E-4"/>
  </r>
  <r>
    <n v="162"/>
    <x v="29"/>
    <s v="Simple Storage Service"/>
    <s v="ap-south-1"/>
    <s v="Requests"/>
    <x v="161"/>
    <n v="0.06"/>
    <n v="1.6666666666666668E-3"/>
    <n v="1E-4"/>
    <n v="1E-4"/>
    <s v="Section C"/>
    <n v="0.52500000000000002"/>
    <n v="4.7500000000000003E-5"/>
  </r>
  <r>
    <n v="163"/>
    <x v="29"/>
    <s v="Simple Storage Service"/>
    <s v="us-east-1"/>
    <s v="Requests"/>
    <x v="162"/>
    <n v="5.5E-2"/>
    <n v="1.8181818181818182E-3"/>
    <n v="1E-4"/>
    <n v="1E-4"/>
    <s v="Section C"/>
    <n v="0.52500000000000002"/>
    <n v="4.7500000000000003E-5"/>
  </r>
  <r>
    <n v="164"/>
    <x v="29"/>
    <s v="Simple Storage Service"/>
    <s v="ap-south-1"/>
    <s v="Tag-Mo"/>
    <x v="163"/>
    <n v="6.4999999999999997E-3"/>
    <n v="23479.769230769234"/>
    <n v="152.61850000000001"/>
    <n v="152.61850000000001"/>
    <s v="Section C"/>
    <n v="0.52500000000000002"/>
    <n v="72.493787499999996"/>
  </r>
  <r>
    <n v="165"/>
    <x v="29"/>
    <s v="Simple Storage Service"/>
    <s v="ap-south-1"/>
    <s v="Requests"/>
    <x v="164"/>
    <n v="7.0000000000000007E-2"/>
    <n v="2264.258571428571"/>
    <n v="158.49809999999999"/>
    <n v="158.49809999999999"/>
    <s v="Section C"/>
    <n v="0.52500000000000002"/>
    <n v="75.286597499999999"/>
  </r>
  <r>
    <n v="166"/>
    <x v="29"/>
    <s v="Simple Storage Service"/>
    <s v="ap-south-1"/>
    <s v="Requests"/>
    <x v="165"/>
    <n v="0.02"/>
    <n v="276.79000000000002"/>
    <n v="5.5358000000000009"/>
    <n v="5.5358000000000009"/>
    <s v="Section C"/>
    <n v="0.52500000000000002"/>
    <n v="2.6295050000000004"/>
  </r>
  <r>
    <n v="167"/>
    <x v="29"/>
    <s v="Simple Storage Service"/>
    <s v="ap-south-1"/>
    <s v="GB-Mo"/>
    <x v="166"/>
    <n v="2.5000000000000001E-2"/>
    <n v="48808.243699999999"/>
    <n v="1220.2060925000001"/>
    <n v="1220.2060925000001"/>
    <s v="Section C"/>
    <n v="0.52500000000000002"/>
    <n v="579.59789393749998"/>
  </r>
  <r>
    <n v="168"/>
    <x v="29"/>
    <s v="Simple Storage Service"/>
    <s v="us-east-1"/>
    <s v="GB-Mo"/>
    <x v="167"/>
    <n v="2.3E-2"/>
    <n v="0.1027"/>
    <n v="0.01"/>
    <n v="0.01"/>
    <s v="Section C"/>
    <n v="0.52500000000000002"/>
    <n v="4.7499999999999999E-3"/>
  </r>
  <r>
    <n v="169"/>
    <x v="29"/>
    <s v="Simple Storage Service"/>
    <s v="ap-south-1"/>
    <s v="Objects"/>
    <x v="168"/>
    <n v="0.2"/>
    <n v="11780.371500000001"/>
    <n v="2356.0743000000002"/>
    <n v="2356.0743000000002"/>
    <s v="Section C"/>
    <n v="0.52500000000000002"/>
    <n v="1119.1352925000001"/>
  </r>
  <r>
    <n v="170"/>
    <x v="31"/>
    <s v="Simple Notification Service"/>
    <s v="ap-south-1"/>
    <s v="Requests"/>
    <x v="169"/>
    <n v="0.5"/>
    <n v="0.13159999999999999"/>
    <n v="6.5799999999999997E-2"/>
    <n v="6.5799999999999997E-2"/>
    <s v="Section E"/>
    <n v="0.22"/>
    <n v="5.1323999999999995E-2"/>
  </r>
  <r>
    <n v="171"/>
    <x v="31"/>
    <s v="Simple Notification Service"/>
    <s v="ap-south-1"/>
    <s v="Notifications"/>
    <x v="170"/>
    <n v="2"/>
    <n v="1.79295"/>
    <n v="3.5859000000000001"/>
    <n v="3.5859000000000001"/>
    <s v="Section E"/>
    <n v="0.22"/>
    <n v="2.797002"/>
  </r>
  <r>
    <n v="172"/>
    <x v="32"/>
    <s v="SageMaker"/>
    <s v="ap-south-1"/>
    <s v="GB-Mo"/>
    <x v="171"/>
    <n v="0.16"/>
    <n v="4.9993750000000006"/>
    <n v="0.79990000000000006"/>
    <n v="0.79990000000000006"/>
    <s v="Section E"/>
    <n v="0.22"/>
    <n v="0.62392200000000009"/>
  </r>
  <r>
    <n v="173"/>
    <x v="32"/>
    <s v="SageMaker"/>
    <s v="ap-south-1"/>
    <s v="GB-Mo"/>
    <x v="172"/>
    <n v="0.12767999999999999"/>
    <n v="210"/>
    <n v="26.812799999999996"/>
    <n v="26.812799999999996"/>
    <s v="Section E"/>
    <n v="0.22"/>
    <n v="20.913983999999996"/>
  </r>
  <r>
    <n v="174"/>
    <x v="32"/>
    <s v="SageMaker"/>
    <s v="ap-south-1"/>
    <s v="Hrs"/>
    <x v="173"/>
    <n v="5.3999999999999999E-2"/>
    <n v="743.90710000000001"/>
    <n v="40.170983399999997"/>
    <n v="40.170983399999997"/>
    <s v="Section E"/>
    <n v="0.22"/>
    <n v="31.333367052"/>
  </r>
  <r>
    <n v="175"/>
    <x v="32"/>
    <s v="SageMaker"/>
    <s v="ap-south-1"/>
    <s v="Hrs"/>
    <x v="174"/>
    <n v="1.9"/>
    <n v="744"/>
    <n v="1413.6"/>
    <n v="1413.6"/>
    <s v="Section E"/>
    <n v="0.22"/>
    <n v="1102.6079999999999"/>
  </r>
  <r>
    <n v="176"/>
    <x v="33"/>
    <s v="Textract"/>
    <s v="ap-south-1"/>
    <s v="Pages"/>
    <x v="175"/>
    <n v="0.6"/>
    <n v="5.492"/>
    <n v="3.2951999999999999"/>
    <n v="3.2951999999999999"/>
    <s v="Section A"/>
    <n v="0.22"/>
    <n v="2.5702559999999997"/>
  </r>
  <r>
    <n v="177"/>
    <x v="33"/>
    <s v="Textract"/>
    <s v="ap-south-1"/>
    <s v="Pages"/>
    <x v="176"/>
    <n v="1.5"/>
    <n v="0.64300000000000002"/>
    <n v="0.96450000000000002"/>
    <n v="0.96450000000000002"/>
    <s v="Section A"/>
    <n v="0.22"/>
    <n v="0.75231000000000003"/>
  </r>
  <r>
    <n v="178"/>
    <x v="34"/>
    <s v="Virtual Private Cloud"/>
    <s v="ap-south-1"/>
    <s v="GigaBytes"/>
    <x v="177"/>
    <n v="0.02"/>
    <n v="375725.86820000003"/>
    <n v="7514.5173640000003"/>
    <n v="7514.5173640000003"/>
    <s v="Section F"/>
    <n v="0.22"/>
    <n v="5861.3235439199998"/>
  </r>
  <r>
    <n v="179"/>
    <x v="34"/>
    <s v="Virtual Private Cloud"/>
    <s v="ap-south-1"/>
    <s v="hour"/>
    <x v="178"/>
    <n v="7.0000000000000007E-2"/>
    <n v="744"/>
    <n v="52.080000000000005"/>
    <n v="52.080000000000005"/>
    <s v="Section F"/>
    <n v="0.22"/>
    <n v="40.622400000000006"/>
  </r>
  <r>
    <n v="180"/>
    <x v="34"/>
    <s v="Virtual Private Cloud"/>
    <s v="ap-south-1"/>
    <s v="Hrs"/>
    <x v="179"/>
    <n v="1.2999999999999999E-2"/>
    <n v="4464"/>
    <n v="58.031999999999996"/>
    <n v="58.031999999999996"/>
    <s v="Section F"/>
    <n v="0.22"/>
    <n v="45.264959999999995"/>
  </r>
  <r>
    <n v="181"/>
    <x v="35"/>
    <s v="Key Management Service"/>
    <s v="ap-south-1"/>
    <s v="Keys"/>
    <x v="180"/>
    <n v="1"/>
    <n v="10.940899999999999"/>
    <n v="10.940899999999999"/>
    <n v="10.940899999999999"/>
    <s v="Section F"/>
    <n v="0.22"/>
    <n v="8.5339019999999994"/>
  </r>
  <r>
    <n v="182"/>
    <x v="35"/>
    <s v="Key Management Service"/>
    <s v="ap-south-1"/>
    <s v="Requests"/>
    <x v="181"/>
    <n v="0.03"/>
    <n v="10009.993333333334"/>
    <n v="300.2998"/>
    <n v="300.2998"/>
    <s v="Section F"/>
    <n v="0.22"/>
    <n v="234.233844"/>
  </r>
  <r>
    <n v="183"/>
    <x v="35"/>
    <s v="Key Management Service"/>
    <s v="ap-south-2"/>
    <s v="Requests"/>
    <x v="182"/>
    <n v="0.03"/>
    <n v="2.3333333333333338E-2"/>
    <n v="7.000000000000001E-4"/>
    <n v="7.000000000000001E-4"/>
    <s v="Section F"/>
    <n v="0.22"/>
    <n v="5.4600000000000004E-4"/>
  </r>
  <r>
    <n v="184"/>
    <x v="36"/>
    <s v="WAF"/>
    <s v="ap-south-1"/>
    <s v="Request"/>
    <x v="183"/>
    <n v="0.6"/>
    <n v="425.74"/>
    <n v="255.44399999999999"/>
    <n v="255.44399999999999"/>
    <s v="Section F"/>
    <n v="0.22"/>
    <n v="199.246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FCE8A6-301A-4305-B7E0-3EF327E88D2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94:G232" firstHeaderRow="1" firstDataRow="1" firstDataCol="1"/>
  <pivotFields count="13">
    <pivotField showAll="0"/>
    <pivotField axis="axisRow" showAll="0">
      <items count="38">
        <item sd="0" x="14"/>
        <item sd="0" x="12"/>
        <item sd="0" x="13"/>
        <item sd="0" x="1"/>
        <item sd="0" x="0"/>
        <item sd="0" x="6"/>
        <item sd="0" x="15"/>
        <item sd="0" x="2"/>
        <item sd="0" x="3"/>
        <item sd="0" x="4"/>
        <item sd="0" x="16"/>
        <item sd="0" x="18"/>
        <item sd="0" x="17"/>
        <item sd="0" x="20"/>
        <item sd="0" x="19"/>
        <item sd="0" x="5"/>
        <item sd="0" x="21"/>
        <item sd="0" x="7"/>
        <item sd="0" x="22"/>
        <item sd="0" x="23"/>
        <item sd="0" x="35"/>
        <item sd="0" x="8"/>
        <item sd="0" x="24"/>
        <item sd="0" x="25"/>
        <item sd="0" x="26"/>
        <item sd="0" x="28"/>
        <item sd="0" x="27"/>
        <item sd="0" x="30"/>
        <item sd="0" x="32"/>
        <item sd="0" x="9"/>
        <item sd="0" x="10"/>
        <item sd="0" x="31"/>
        <item sd="0" x="29"/>
        <item sd="0" x="33"/>
        <item sd="0" x="34"/>
        <item sd="0" x="36"/>
        <item sd="0" x="11"/>
        <item t="default" sd="0"/>
      </items>
    </pivotField>
    <pivotField showAll="0"/>
    <pivotField showAll="0"/>
    <pivotField showAll="0"/>
    <pivotField axis="axisRow" showAll="0">
      <items count="185">
        <item x="107"/>
        <item x="57"/>
        <item x="108"/>
        <item x="109"/>
        <item x="110"/>
        <item x="114"/>
        <item x="4"/>
        <item x="58"/>
        <item x="144"/>
        <item x="147"/>
        <item x="115"/>
        <item x="3"/>
        <item x="152"/>
        <item x="156"/>
        <item x="65"/>
        <item x="160"/>
        <item x="143"/>
        <item x="155"/>
        <item x="148"/>
        <item x="68"/>
        <item x="14"/>
        <item x="163"/>
        <item x="55"/>
        <item x="43"/>
        <item x="5"/>
        <item x="116"/>
        <item x="118"/>
        <item x="6"/>
        <item x="79"/>
        <item x="40"/>
        <item x="179"/>
        <item x="165"/>
        <item x="177"/>
        <item x="167"/>
        <item x="145"/>
        <item x="13"/>
        <item x="15"/>
        <item x="146"/>
        <item x="166"/>
        <item x="151"/>
        <item x="149"/>
        <item x="150"/>
        <item x="157"/>
        <item x="158"/>
        <item x="159"/>
        <item x="182"/>
        <item x="181"/>
        <item x="153"/>
        <item x="44"/>
        <item x="69"/>
        <item x="24"/>
        <item x="66"/>
        <item x="173"/>
        <item x="162"/>
        <item x="2"/>
        <item x="161"/>
        <item x="164"/>
        <item x="178"/>
        <item x="7"/>
        <item x="106"/>
        <item x="8"/>
        <item x="12"/>
        <item x="10"/>
        <item x="11"/>
        <item x="70"/>
        <item x="154"/>
        <item x="56"/>
        <item x="90"/>
        <item x="49"/>
        <item x="45"/>
        <item x="88"/>
        <item x="9"/>
        <item x="117"/>
        <item x="111"/>
        <item x="121"/>
        <item x="67"/>
        <item x="172"/>
        <item x="34"/>
        <item x="171"/>
        <item x="50"/>
        <item x="35"/>
        <item x="168"/>
        <item x="46"/>
        <item x="89"/>
        <item x="51"/>
        <item x="119"/>
        <item x="48"/>
        <item x="37"/>
        <item x="47"/>
        <item x="52"/>
        <item x="80"/>
        <item x="71"/>
        <item x="36"/>
        <item x="25"/>
        <item x="81"/>
        <item x="18"/>
        <item x="169"/>
        <item x="82"/>
        <item x="112"/>
        <item x="183"/>
        <item x="53"/>
        <item x="54"/>
        <item x="84"/>
        <item x="83"/>
        <item x="72"/>
        <item x="38"/>
        <item x="73"/>
        <item x="85"/>
        <item x="102"/>
        <item x="74"/>
        <item x="103"/>
        <item x="19"/>
        <item x="20"/>
        <item x="180"/>
        <item x="17"/>
        <item x="86"/>
        <item x="16"/>
        <item x="113"/>
        <item x="78"/>
        <item x="142"/>
        <item x="39"/>
        <item x="104"/>
        <item x="120"/>
        <item x="105"/>
        <item x="174"/>
        <item x="170"/>
        <item x="31"/>
        <item x="41"/>
        <item x="42"/>
        <item x="87"/>
        <item x="32"/>
        <item x="75"/>
        <item x="76"/>
        <item x="77"/>
        <item x="26"/>
        <item x="33"/>
        <item x="100"/>
        <item x="101"/>
        <item x="27"/>
        <item x="21"/>
        <item x="22"/>
        <item x="23"/>
        <item x="0"/>
        <item x="1"/>
        <item x="28"/>
        <item x="123"/>
        <item x="141"/>
        <item x="29"/>
        <item x="95"/>
        <item x="91"/>
        <item x="98"/>
        <item x="96"/>
        <item x="92"/>
        <item x="94"/>
        <item x="93"/>
        <item x="99"/>
        <item x="97"/>
        <item x="62"/>
        <item x="63"/>
        <item x="64"/>
        <item x="124"/>
        <item x="127"/>
        <item x="128"/>
        <item x="139"/>
        <item x="129"/>
        <item x="140"/>
        <item x="130"/>
        <item x="175"/>
        <item x="125"/>
        <item x="131"/>
        <item x="132"/>
        <item x="176"/>
        <item x="133"/>
        <item x="134"/>
        <item x="126"/>
        <item x="135"/>
        <item x="59"/>
        <item x="60"/>
        <item x="61"/>
        <item x="136"/>
        <item x="137"/>
        <item x="138"/>
        <item x="122"/>
        <item x="30"/>
        <item t="default"/>
      </items>
    </pivotField>
    <pivotField showAll="0"/>
    <pivotField numFmtId="43" showAll="0"/>
    <pivotField numFmtId="43" showAll="0"/>
    <pivotField dataField="1" numFmtId="43" showAll="0"/>
    <pivotField showAll="0"/>
    <pivotField numFmtId="10" showAll="0"/>
    <pivotField numFmtId="165" showAll="0"/>
  </pivotFields>
  <rowFields count="2">
    <field x="1"/>
    <field x="5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Items count="1">
    <i/>
  </colItems>
  <dataFields count="1">
    <dataField name="Sum of Price Per Service (USD)" fld="9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284A6-7064-4E8D-B6F8-F67532E53222}">
  <dimension ref="A1:J416"/>
  <sheetViews>
    <sheetView tabSelected="1" zoomScaleNormal="100" workbookViewId="0">
      <selection activeCell="C1" sqref="C1"/>
    </sheetView>
  </sheetViews>
  <sheetFormatPr defaultColWidth="8.453125" defaultRowHeight="14.5" x14ac:dyDescent="0.35"/>
  <cols>
    <col min="1" max="1" width="5.453125" style="4" bestFit="1" customWidth="1"/>
    <col min="2" max="2" width="45.453125" style="4" bestFit="1" customWidth="1"/>
    <col min="3" max="3" width="15.453125" style="4" bestFit="1" customWidth="1"/>
    <col min="4" max="4" width="15" style="4" bestFit="1" customWidth="1"/>
    <col min="5" max="5" width="12.453125" style="4" customWidth="1"/>
    <col min="6" max="6" width="35.36328125" style="4" bestFit="1" customWidth="1"/>
    <col min="7" max="7" width="25" style="4" bestFit="1" customWidth="1"/>
    <col min="8" max="8" width="18.36328125" style="18" bestFit="1" customWidth="1"/>
    <col min="9" max="9" width="17.453125" style="18" bestFit="1" customWidth="1"/>
    <col min="10" max="10" width="20.453125" style="19" bestFit="1" customWidth="1"/>
    <col min="11" max="11" width="8.453125" style="4"/>
    <col min="12" max="12" width="11.1796875" style="4" bestFit="1" customWidth="1"/>
    <col min="13" max="16384" width="8.453125" style="4"/>
  </cols>
  <sheetData>
    <row r="1" spans="1:10" x14ac:dyDescent="0.35">
      <c r="A1" s="22" t="s">
        <v>0</v>
      </c>
      <c r="B1" s="22"/>
      <c r="C1" s="1" t="s">
        <v>2</v>
      </c>
      <c r="D1" s="1"/>
      <c r="E1" s="1"/>
      <c r="F1" s="1"/>
      <c r="G1" s="1"/>
      <c r="H1" s="2"/>
      <c r="I1" s="2"/>
      <c r="J1" s="3"/>
    </row>
    <row r="2" spans="1:10" x14ac:dyDescent="0.35">
      <c r="A2" s="22" t="s">
        <v>1</v>
      </c>
      <c r="B2" s="22"/>
      <c r="C2" s="5" t="s">
        <v>2</v>
      </c>
      <c r="D2" s="6" t="s">
        <v>3</v>
      </c>
      <c r="E2" s="1"/>
      <c r="F2" s="1"/>
      <c r="G2" s="1"/>
      <c r="H2" s="2"/>
      <c r="I2" s="2"/>
      <c r="J2" s="3"/>
    </row>
    <row r="3" spans="1:10" x14ac:dyDescent="0.35">
      <c r="A3" s="22" t="s">
        <v>4</v>
      </c>
      <c r="B3" s="22"/>
      <c r="C3" s="6"/>
      <c r="E3" s="1"/>
      <c r="F3" s="1"/>
      <c r="G3" s="1"/>
      <c r="H3" s="2"/>
      <c r="I3" s="2"/>
      <c r="J3" s="3"/>
    </row>
    <row r="4" spans="1:10" x14ac:dyDescent="0.35">
      <c r="A4" s="23" t="s">
        <v>5</v>
      </c>
      <c r="B4" s="23"/>
      <c r="C4" s="6" t="s">
        <v>2</v>
      </c>
      <c r="E4" s="1"/>
      <c r="F4" s="1"/>
      <c r="G4" s="1"/>
      <c r="H4" s="7"/>
      <c r="I4" s="7"/>
      <c r="J4" s="3"/>
    </row>
    <row r="5" spans="1:10" ht="28" customHeight="1" x14ac:dyDescent="0.35">
      <c r="A5" s="8" t="s">
        <v>6</v>
      </c>
      <c r="B5" s="8" t="s">
        <v>7</v>
      </c>
      <c r="C5" s="9" t="s">
        <v>8</v>
      </c>
      <c r="D5" s="9" t="s">
        <v>9</v>
      </c>
      <c r="E5" s="9" t="s">
        <v>10</v>
      </c>
      <c r="F5" s="9" t="s">
        <v>11</v>
      </c>
      <c r="G5" s="9" t="s">
        <v>12</v>
      </c>
      <c r="H5" s="10" t="s">
        <v>13</v>
      </c>
      <c r="I5" s="10" t="s">
        <v>14</v>
      </c>
      <c r="J5" s="11" t="s">
        <v>15</v>
      </c>
    </row>
    <row r="6" spans="1:10" x14ac:dyDescent="0.35">
      <c r="A6" s="4">
        <v>1</v>
      </c>
      <c r="B6" t="s">
        <v>16</v>
      </c>
      <c r="C6" t="s">
        <v>16</v>
      </c>
      <c r="D6" t="s">
        <v>17</v>
      </c>
      <c r="E6" t="s">
        <v>18</v>
      </c>
      <c r="F6" t="s">
        <v>19</v>
      </c>
      <c r="G6" s="12">
        <v>2.9999564630589055</v>
      </c>
      <c r="H6" s="13">
        <v>2.2968999999999999</v>
      </c>
      <c r="I6" s="13">
        <f t="shared" ref="I6:I69" si="0">G6*H6</f>
        <v>6.8906000000000001</v>
      </c>
      <c r="J6" s="13">
        <f t="shared" ref="J6:J69" si="1">I6</f>
        <v>6.8906000000000001</v>
      </c>
    </row>
    <row r="7" spans="1:10" x14ac:dyDescent="0.35">
      <c r="A7" s="4">
        <v>2</v>
      </c>
      <c r="B7" t="s">
        <v>16</v>
      </c>
      <c r="C7" t="s">
        <v>16</v>
      </c>
      <c r="D7" t="s">
        <v>17</v>
      </c>
      <c r="E7" t="s">
        <v>18</v>
      </c>
      <c r="F7" t="s">
        <v>20</v>
      </c>
      <c r="G7" s="12">
        <v>15.000926784059313</v>
      </c>
      <c r="H7" s="13">
        <v>0.1079</v>
      </c>
      <c r="I7" s="13">
        <f t="shared" si="0"/>
        <v>1.6185999999999998</v>
      </c>
      <c r="J7" s="13">
        <f t="shared" si="1"/>
        <v>1.6185999999999998</v>
      </c>
    </row>
    <row r="8" spans="1:10" x14ac:dyDescent="0.35">
      <c r="A8" s="4">
        <v>3</v>
      </c>
      <c r="B8" t="s">
        <v>21</v>
      </c>
      <c r="C8" t="s">
        <v>21</v>
      </c>
      <c r="D8" t="s">
        <v>17</v>
      </c>
      <c r="E8" t="s">
        <v>22</v>
      </c>
      <c r="F8" t="s">
        <v>23</v>
      </c>
      <c r="G8">
        <v>5.5E-2</v>
      </c>
      <c r="H8" s="13">
        <v>27.485399999999998</v>
      </c>
      <c r="I8" s="13">
        <f t="shared" si="0"/>
        <v>1.5116969999999998</v>
      </c>
      <c r="J8" s="13">
        <f t="shared" si="1"/>
        <v>1.5116969999999998</v>
      </c>
    </row>
    <row r="9" spans="1:10" x14ac:dyDescent="0.35">
      <c r="A9" s="4">
        <v>4</v>
      </c>
      <c r="B9" t="s">
        <v>24</v>
      </c>
      <c r="C9" t="s">
        <v>24</v>
      </c>
      <c r="D9" t="s">
        <v>17</v>
      </c>
      <c r="E9" t="s">
        <v>25</v>
      </c>
      <c r="F9" t="s">
        <v>26</v>
      </c>
      <c r="G9">
        <v>3.0000000000000001E-3</v>
      </c>
      <c r="H9" s="13">
        <v>342204</v>
      </c>
      <c r="I9" s="13">
        <f t="shared" si="0"/>
        <v>1026.6120000000001</v>
      </c>
      <c r="J9" s="13">
        <f t="shared" si="1"/>
        <v>1026.6120000000001</v>
      </c>
    </row>
    <row r="10" spans="1:10" x14ac:dyDescent="0.35">
      <c r="A10" s="4">
        <v>5</v>
      </c>
      <c r="B10" t="s">
        <v>24</v>
      </c>
      <c r="C10" t="s">
        <v>24</v>
      </c>
      <c r="D10" t="s">
        <v>17</v>
      </c>
      <c r="E10" t="s">
        <v>27</v>
      </c>
      <c r="F10" t="s">
        <v>28</v>
      </c>
      <c r="G10">
        <v>1E-3</v>
      </c>
      <c r="H10" s="13">
        <v>374</v>
      </c>
      <c r="I10" s="13">
        <f t="shared" si="0"/>
        <v>0.374</v>
      </c>
      <c r="J10" s="13">
        <f t="shared" si="1"/>
        <v>0.374</v>
      </c>
    </row>
    <row r="11" spans="1:10" x14ac:dyDescent="0.35">
      <c r="A11" s="4">
        <v>6</v>
      </c>
      <c r="B11" t="s">
        <v>29</v>
      </c>
      <c r="C11" t="s">
        <v>29</v>
      </c>
      <c r="D11" t="s">
        <v>30</v>
      </c>
      <c r="E11" t="s">
        <v>31</v>
      </c>
      <c r="F11" t="s">
        <v>32</v>
      </c>
      <c r="G11">
        <v>0.01</v>
      </c>
      <c r="H11" s="13">
        <v>16</v>
      </c>
      <c r="I11" s="13">
        <f t="shared" si="0"/>
        <v>0.16</v>
      </c>
      <c r="J11" s="13">
        <f t="shared" si="1"/>
        <v>0.16</v>
      </c>
    </row>
    <row r="12" spans="1:10" x14ac:dyDescent="0.35">
      <c r="A12" s="4">
        <v>7</v>
      </c>
      <c r="B12" t="s">
        <v>33</v>
      </c>
      <c r="C12" t="s">
        <v>33</v>
      </c>
      <c r="D12" t="s">
        <v>17</v>
      </c>
      <c r="E12" t="s">
        <v>34</v>
      </c>
      <c r="F12" t="s">
        <v>35</v>
      </c>
      <c r="G12">
        <v>0.01</v>
      </c>
      <c r="H12" s="13">
        <v>1792933.9186</v>
      </c>
      <c r="I12" s="13">
        <f t="shared" si="0"/>
        <v>17929.339186000001</v>
      </c>
      <c r="J12" s="13">
        <f t="shared" si="1"/>
        <v>17929.339186000001</v>
      </c>
    </row>
    <row r="13" spans="1:10" x14ac:dyDescent="0.35">
      <c r="A13" s="4">
        <v>8</v>
      </c>
      <c r="B13" t="s">
        <v>33</v>
      </c>
      <c r="C13" t="s">
        <v>33</v>
      </c>
      <c r="D13" t="s">
        <v>17</v>
      </c>
      <c r="E13" t="s">
        <v>34</v>
      </c>
      <c r="F13" t="s">
        <v>36</v>
      </c>
      <c r="G13">
        <v>8.2000000000000003E-2</v>
      </c>
      <c r="H13" s="13">
        <v>322.59839999999997</v>
      </c>
      <c r="I13" s="13">
        <f t="shared" si="0"/>
        <v>26.453068799999997</v>
      </c>
      <c r="J13" s="13">
        <f t="shared" si="1"/>
        <v>26.453068799999997</v>
      </c>
    </row>
    <row r="14" spans="1:10" x14ac:dyDescent="0.35">
      <c r="A14" s="4">
        <v>9</v>
      </c>
      <c r="B14" t="s">
        <v>33</v>
      </c>
      <c r="C14" t="s">
        <v>33</v>
      </c>
      <c r="D14" t="s">
        <v>17</v>
      </c>
      <c r="E14" t="s">
        <v>34</v>
      </c>
      <c r="F14" t="s">
        <v>37</v>
      </c>
      <c r="G14">
        <v>8.5000000000000006E-2</v>
      </c>
      <c r="H14" s="13">
        <v>124.715</v>
      </c>
      <c r="I14" s="13">
        <f t="shared" si="0"/>
        <v>10.600775000000001</v>
      </c>
      <c r="J14" s="13">
        <f t="shared" si="1"/>
        <v>10.600775000000001</v>
      </c>
    </row>
    <row r="15" spans="1:10" x14ac:dyDescent="0.35">
      <c r="A15" s="4">
        <v>10</v>
      </c>
      <c r="B15" t="s">
        <v>33</v>
      </c>
      <c r="C15" t="s">
        <v>33</v>
      </c>
      <c r="D15" t="s">
        <v>17</v>
      </c>
      <c r="E15" t="s">
        <v>34</v>
      </c>
      <c r="F15" t="s">
        <v>38</v>
      </c>
      <c r="G15">
        <v>0.10929999999999999</v>
      </c>
      <c r="H15" s="13">
        <v>4.8252516010978965</v>
      </c>
      <c r="I15" s="13">
        <f t="shared" si="0"/>
        <v>0.52740000000000009</v>
      </c>
      <c r="J15" s="13">
        <f t="shared" si="1"/>
        <v>0.52740000000000009</v>
      </c>
    </row>
    <row r="16" spans="1:10" x14ac:dyDescent="0.35">
      <c r="A16" s="4">
        <v>11</v>
      </c>
      <c r="B16" t="s">
        <v>33</v>
      </c>
      <c r="C16" t="s">
        <v>33</v>
      </c>
      <c r="D16" t="s">
        <v>39</v>
      </c>
      <c r="E16" t="s">
        <v>34</v>
      </c>
      <c r="F16" t="s">
        <v>40</v>
      </c>
      <c r="G16">
        <v>8.5999999999999993E-2</v>
      </c>
      <c r="H16" s="13">
        <v>1.11E-2</v>
      </c>
      <c r="I16" s="13">
        <f t="shared" si="0"/>
        <v>9.546E-4</v>
      </c>
      <c r="J16" s="13">
        <f t="shared" si="1"/>
        <v>9.546E-4</v>
      </c>
    </row>
    <row r="17" spans="1:10" x14ac:dyDescent="0.35">
      <c r="A17" s="4">
        <v>12</v>
      </c>
      <c r="B17" t="s">
        <v>33</v>
      </c>
      <c r="C17" t="s">
        <v>33</v>
      </c>
      <c r="D17" t="s">
        <v>39</v>
      </c>
      <c r="E17" t="s">
        <v>34</v>
      </c>
      <c r="F17" t="s">
        <v>41</v>
      </c>
      <c r="G17">
        <v>0.09</v>
      </c>
      <c r="H17" s="13">
        <v>1.4200000000000001E-2</v>
      </c>
      <c r="I17" s="13">
        <f t="shared" si="0"/>
        <v>1.2780000000000001E-3</v>
      </c>
      <c r="J17" s="13">
        <f t="shared" si="1"/>
        <v>1.2780000000000001E-3</v>
      </c>
    </row>
    <row r="18" spans="1:10" x14ac:dyDescent="0.35">
      <c r="A18" s="4">
        <v>13</v>
      </c>
      <c r="B18" t="s">
        <v>33</v>
      </c>
      <c r="C18" t="s">
        <v>33</v>
      </c>
      <c r="D18" t="s">
        <v>39</v>
      </c>
      <c r="E18" t="s">
        <v>34</v>
      </c>
      <c r="F18" t="s">
        <v>42</v>
      </c>
      <c r="G18">
        <v>8.5999999999999993E-2</v>
      </c>
      <c r="H18" s="13">
        <v>5.9999999999999995E-4</v>
      </c>
      <c r="I18" s="13">
        <f t="shared" si="0"/>
        <v>5.1599999999999994E-5</v>
      </c>
      <c r="J18" s="13">
        <f t="shared" si="1"/>
        <v>5.1599999999999994E-5</v>
      </c>
    </row>
    <row r="19" spans="1:10" x14ac:dyDescent="0.35">
      <c r="A19" s="4">
        <v>14</v>
      </c>
      <c r="B19" t="s">
        <v>43</v>
      </c>
      <c r="C19" t="s">
        <v>43</v>
      </c>
      <c r="D19" t="s">
        <v>17</v>
      </c>
      <c r="E19" t="s">
        <v>44</v>
      </c>
      <c r="F19" t="s">
        <v>45</v>
      </c>
      <c r="G19">
        <v>2.3900000000000001E-2</v>
      </c>
      <c r="H19" s="13">
        <v>744</v>
      </c>
      <c r="I19" s="13">
        <f t="shared" si="0"/>
        <v>17.781600000000001</v>
      </c>
      <c r="J19" s="13">
        <f t="shared" si="1"/>
        <v>17.781600000000001</v>
      </c>
    </row>
    <row r="20" spans="1:10" x14ac:dyDescent="0.35">
      <c r="A20" s="4">
        <v>15</v>
      </c>
      <c r="B20" t="s">
        <v>43</v>
      </c>
      <c r="C20" t="s">
        <v>43</v>
      </c>
      <c r="D20" t="s">
        <v>17</v>
      </c>
      <c r="E20" t="s">
        <v>46</v>
      </c>
      <c r="F20" t="s">
        <v>47</v>
      </c>
      <c r="G20">
        <v>6.0000000000000001E-3</v>
      </c>
      <c r="H20" s="13">
        <v>462065.51390000002</v>
      </c>
      <c r="I20" s="13">
        <f t="shared" si="0"/>
        <v>2772.3930834000003</v>
      </c>
      <c r="J20" s="13">
        <f t="shared" si="1"/>
        <v>2772.3930834000003</v>
      </c>
    </row>
    <row r="21" spans="1:10" x14ac:dyDescent="0.35">
      <c r="A21" s="4">
        <v>16</v>
      </c>
      <c r="B21" t="s">
        <v>43</v>
      </c>
      <c r="C21" t="s">
        <v>43</v>
      </c>
      <c r="D21" t="s">
        <v>17</v>
      </c>
      <c r="E21" t="s">
        <v>44</v>
      </c>
      <c r="F21" t="s">
        <v>48</v>
      </c>
      <c r="G21">
        <v>2.3900000000000001E-2</v>
      </c>
      <c r="H21" s="13">
        <v>8928</v>
      </c>
      <c r="I21" s="13">
        <f t="shared" si="0"/>
        <v>213.3792</v>
      </c>
      <c r="J21" s="13">
        <f t="shared" si="1"/>
        <v>213.3792</v>
      </c>
    </row>
    <row r="22" spans="1:10" x14ac:dyDescent="0.35">
      <c r="A22" s="4">
        <v>17</v>
      </c>
      <c r="B22" t="s">
        <v>49</v>
      </c>
      <c r="C22" t="s">
        <v>49</v>
      </c>
      <c r="D22" t="s">
        <v>17</v>
      </c>
      <c r="E22" t="s">
        <v>50</v>
      </c>
      <c r="F22" t="s">
        <v>51</v>
      </c>
      <c r="G22">
        <v>1.05</v>
      </c>
      <c r="H22" s="13">
        <v>9.5238095238095241E-5</v>
      </c>
      <c r="I22" s="13">
        <f t="shared" si="0"/>
        <v>1E-4</v>
      </c>
      <c r="J22" s="13">
        <f t="shared" si="1"/>
        <v>1E-4</v>
      </c>
    </row>
    <row r="23" spans="1:10" x14ac:dyDescent="0.35">
      <c r="A23" s="4">
        <v>18</v>
      </c>
      <c r="B23" t="s">
        <v>49</v>
      </c>
      <c r="C23" t="s">
        <v>49</v>
      </c>
      <c r="D23" t="s">
        <v>17</v>
      </c>
      <c r="E23" t="s">
        <v>52</v>
      </c>
      <c r="F23" t="s">
        <v>53</v>
      </c>
      <c r="G23">
        <v>1</v>
      </c>
      <c r="H23" s="13">
        <v>290.47280000000001</v>
      </c>
      <c r="I23" s="13">
        <f t="shared" si="0"/>
        <v>290.47280000000001</v>
      </c>
      <c r="J23" s="13">
        <f t="shared" si="1"/>
        <v>290.47280000000001</v>
      </c>
    </row>
    <row r="24" spans="1:10" x14ac:dyDescent="0.35">
      <c r="A24" s="4">
        <v>19</v>
      </c>
      <c r="B24" t="s">
        <v>54</v>
      </c>
      <c r="C24" t="s">
        <v>54</v>
      </c>
      <c r="D24" t="s">
        <v>17</v>
      </c>
      <c r="E24" t="s">
        <v>55</v>
      </c>
      <c r="F24" t="s">
        <v>56</v>
      </c>
      <c r="G24">
        <v>0.44</v>
      </c>
      <c r="H24" s="13">
        <v>2.5432999999999999</v>
      </c>
      <c r="I24" s="13">
        <f t="shared" si="0"/>
        <v>1.1190519999999999</v>
      </c>
      <c r="J24" s="13">
        <f t="shared" si="1"/>
        <v>1.1190519999999999</v>
      </c>
    </row>
    <row r="25" spans="1:10" x14ac:dyDescent="0.35">
      <c r="A25" s="4">
        <v>20</v>
      </c>
      <c r="B25" t="s">
        <v>54</v>
      </c>
      <c r="C25" t="s">
        <v>54</v>
      </c>
      <c r="D25" t="s">
        <v>57</v>
      </c>
      <c r="E25" t="s">
        <v>31</v>
      </c>
      <c r="F25" t="s">
        <v>58</v>
      </c>
      <c r="G25">
        <v>1</v>
      </c>
      <c r="H25" s="13">
        <v>1.4699999999999993E-2</v>
      </c>
      <c r="I25" s="13">
        <f t="shared" si="0"/>
        <v>1.4699999999999993E-2</v>
      </c>
      <c r="J25" s="13">
        <f t="shared" si="1"/>
        <v>1.4699999999999993E-2</v>
      </c>
    </row>
    <row r="26" spans="1:10" x14ac:dyDescent="0.35">
      <c r="A26" s="4">
        <v>21</v>
      </c>
      <c r="B26" t="s">
        <v>54</v>
      </c>
      <c r="C26" t="s">
        <v>54</v>
      </c>
      <c r="D26" t="s">
        <v>17</v>
      </c>
      <c r="E26" t="s">
        <v>59</v>
      </c>
      <c r="F26" t="s">
        <v>60</v>
      </c>
      <c r="G26">
        <v>1</v>
      </c>
      <c r="H26" s="13">
        <v>1.4800000000000001E-2</v>
      </c>
      <c r="I26" s="13">
        <f t="shared" si="0"/>
        <v>1.4800000000000001E-2</v>
      </c>
      <c r="J26" s="13">
        <f t="shared" si="1"/>
        <v>1.4800000000000001E-2</v>
      </c>
    </row>
    <row r="27" spans="1:10" x14ac:dyDescent="0.35">
      <c r="A27" s="4">
        <v>22</v>
      </c>
      <c r="B27" t="s">
        <v>61</v>
      </c>
      <c r="C27" t="s">
        <v>61</v>
      </c>
      <c r="D27" t="s">
        <v>17</v>
      </c>
      <c r="E27" t="s">
        <v>62</v>
      </c>
      <c r="F27" t="s">
        <v>63</v>
      </c>
      <c r="G27" s="12">
        <v>3.5128130272241118E-8</v>
      </c>
      <c r="H27" s="13">
        <v>851169.69700000004</v>
      </c>
      <c r="I27" s="13">
        <f t="shared" si="0"/>
        <v>2.9900000000000003E-2</v>
      </c>
      <c r="J27" s="13">
        <f t="shared" si="1"/>
        <v>2.9900000000000003E-2</v>
      </c>
    </row>
    <row r="28" spans="1:10" x14ac:dyDescent="0.35">
      <c r="A28" s="4">
        <v>23</v>
      </c>
      <c r="B28" t="s">
        <v>61</v>
      </c>
      <c r="C28" t="s">
        <v>61</v>
      </c>
      <c r="D28" t="s">
        <v>17</v>
      </c>
      <c r="E28" t="s">
        <v>64</v>
      </c>
      <c r="F28" t="s">
        <v>65</v>
      </c>
      <c r="G28" s="12">
        <v>1.6666705039331925E-5</v>
      </c>
      <c r="H28" s="13">
        <v>1791031.8764000002</v>
      </c>
      <c r="I28" s="13">
        <f t="shared" si="0"/>
        <v>29.850599999999996</v>
      </c>
      <c r="J28" s="13">
        <f t="shared" si="1"/>
        <v>29.850599999999996</v>
      </c>
    </row>
    <row r="29" spans="1:10" x14ac:dyDescent="0.35">
      <c r="A29" s="4">
        <v>24</v>
      </c>
      <c r="B29" t="s">
        <v>61</v>
      </c>
      <c r="C29" t="s">
        <v>61</v>
      </c>
      <c r="D29" t="s">
        <v>17</v>
      </c>
      <c r="E29" t="s">
        <v>31</v>
      </c>
      <c r="F29" t="s">
        <v>66</v>
      </c>
      <c r="G29" s="12">
        <v>2.000498604515411E-7</v>
      </c>
      <c r="H29" s="13">
        <v>164459</v>
      </c>
      <c r="I29" s="13">
        <f t="shared" si="0"/>
        <v>3.2899999999999999E-2</v>
      </c>
      <c r="J29" s="13">
        <f t="shared" si="1"/>
        <v>3.2899999999999999E-2</v>
      </c>
    </row>
    <row r="30" spans="1:10" x14ac:dyDescent="0.35">
      <c r="A30" s="4">
        <v>25</v>
      </c>
      <c r="B30" t="s">
        <v>67</v>
      </c>
      <c r="C30" t="s">
        <v>67</v>
      </c>
      <c r="D30" t="s">
        <v>17</v>
      </c>
      <c r="E30" t="s">
        <v>68</v>
      </c>
      <c r="F30" t="s">
        <v>69</v>
      </c>
      <c r="G30">
        <v>0.05</v>
      </c>
      <c r="H30" s="13">
        <v>149.506</v>
      </c>
      <c r="I30" s="13">
        <f t="shared" si="0"/>
        <v>7.4753000000000007</v>
      </c>
      <c r="J30" s="13">
        <f t="shared" si="1"/>
        <v>7.4753000000000007</v>
      </c>
    </row>
    <row r="31" spans="1:10" x14ac:dyDescent="0.35">
      <c r="A31" s="4">
        <v>26</v>
      </c>
      <c r="B31" t="s">
        <v>67</v>
      </c>
      <c r="C31" t="s">
        <v>67</v>
      </c>
      <c r="D31" t="s">
        <v>17</v>
      </c>
      <c r="E31" t="s">
        <v>70</v>
      </c>
      <c r="F31" t="s">
        <v>71</v>
      </c>
      <c r="G31">
        <v>0.4</v>
      </c>
      <c r="H31" s="13">
        <v>73</v>
      </c>
      <c r="I31" s="13">
        <f t="shared" si="0"/>
        <v>29.200000000000003</v>
      </c>
      <c r="J31" s="13">
        <f t="shared" si="1"/>
        <v>29.200000000000003</v>
      </c>
    </row>
    <row r="32" spans="1:10" x14ac:dyDescent="0.35">
      <c r="A32" s="4">
        <v>27</v>
      </c>
      <c r="B32" t="s">
        <v>72</v>
      </c>
      <c r="C32" t="s">
        <v>72</v>
      </c>
      <c r="D32" t="s">
        <v>17</v>
      </c>
      <c r="E32" t="s">
        <v>73</v>
      </c>
      <c r="F32" t="s">
        <v>74</v>
      </c>
      <c r="G32">
        <v>8.0000000000000004E-4</v>
      </c>
      <c r="H32" s="13">
        <v>176581</v>
      </c>
      <c r="I32" s="13">
        <f t="shared" si="0"/>
        <v>141.26480000000001</v>
      </c>
      <c r="J32" s="13">
        <f t="shared" si="1"/>
        <v>141.26480000000001</v>
      </c>
    </row>
    <row r="33" spans="1:10" x14ac:dyDescent="0.35">
      <c r="A33" s="4">
        <v>28</v>
      </c>
      <c r="B33" t="s">
        <v>72</v>
      </c>
      <c r="C33" t="s">
        <v>72</v>
      </c>
      <c r="D33" t="s">
        <v>17</v>
      </c>
      <c r="E33" t="s">
        <v>75</v>
      </c>
      <c r="F33" t="s">
        <v>76</v>
      </c>
      <c r="G33">
        <v>3.0000000000000001E-5</v>
      </c>
      <c r="H33" s="13">
        <v>2404556.666666667</v>
      </c>
      <c r="I33" s="13">
        <f t="shared" si="0"/>
        <v>72.136700000000005</v>
      </c>
      <c r="J33" s="13">
        <f t="shared" si="1"/>
        <v>72.136700000000005</v>
      </c>
    </row>
    <row r="34" spans="1:10" x14ac:dyDescent="0.35">
      <c r="A34" s="4">
        <v>29</v>
      </c>
      <c r="B34" t="s">
        <v>72</v>
      </c>
      <c r="C34" t="s">
        <v>72</v>
      </c>
      <c r="D34" t="s">
        <v>17</v>
      </c>
      <c r="E34" t="s">
        <v>73</v>
      </c>
      <c r="F34" t="s">
        <v>77</v>
      </c>
      <c r="G34">
        <v>5.0000000000000001E-4</v>
      </c>
      <c r="H34" s="13">
        <v>215346</v>
      </c>
      <c r="I34" s="13">
        <f t="shared" si="0"/>
        <v>107.673</v>
      </c>
      <c r="J34" s="13">
        <f t="shared" si="1"/>
        <v>107.673</v>
      </c>
    </row>
    <row r="35" spans="1:10" x14ac:dyDescent="0.35">
      <c r="A35" s="4">
        <v>30</v>
      </c>
      <c r="B35" t="s">
        <v>72</v>
      </c>
      <c r="C35" t="s">
        <v>72</v>
      </c>
      <c r="D35" t="s">
        <v>17</v>
      </c>
      <c r="E35" t="s">
        <v>73</v>
      </c>
      <c r="F35" t="s">
        <v>78</v>
      </c>
      <c r="G35">
        <v>1E-3</v>
      </c>
      <c r="H35" s="13">
        <v>45200</v>
      </c>
      <c r="I35" s="13">
        <f t="shared" si="0"/>
        <v>45.2</v>
      </c>
      <c r="J35" s="13">
        <f t="shared" si="1"/>
        <v>45.2</v>
      </c>
    </row>
    <row r="36" spans="1:10" x14ac:dyDescent="0.35">
      <c r="A36" s="4">
        <v>31</v>
      </c>
      <c r="B36" t="s">
        <v>79</v>
      </c>
      <c r="C36" t="s">
        <v>79</v>
      </c>
      <c r="D36" t="s">
        <v>17</v>
      </c>
      <c r="E36" t="s">
        <v>80</v>
      </c>
      <c r="F36" t="s">
        <v>81</v>
      </c>
      <c r="G36" s="12">
        <v>5.0226017076845802E-7</v>
      </c>
      <c r="H36" s="13">
        <v>21901</v>
      </c>
      <c r="I36" s="13">
        <f t="shared" si="0"/>
        <v>1.0999999999999999E-2</v>
      </c>
      <c r="J36" s="13">
        <f t="shared" si="1"/>
        <v>1.0999999999999999E-2</v>
      </c>
    </row>
    <row r="37" spans="1:10" x14ac:dyDescent="0.35">
      <c r="A37" s="4">
        <v>32</v>
      </c>
      <c r="B37" t="s">
        <v>82</v>
      </c>
      <c r="C37" t="s">
        <v>82</v>
      </c>
      <c r="D37" t="s">
        <v>17</v>
      </c>
      <c r="E37" t="s">
        <v>83</v>
      </c>
      <c r="F37" t="s">
        <v>84</v>
      </c>
      <c r="G37">
        <v>2.8</v>
      </c>
      <c r="H37" s="13">
        <v>100.44575000000002</v>
      </c>
      <c r="I37" s="13">
        <f t="shared" si="0"/>
        <v>281.24810000000002</v>
      </c>
      <c r="J37" s="13">
        <f t="shared" si="1"/>
        <v>281.24810000000002</v>
      </c>
    </row>
    <row r="38" spans="1:10" x14ac:dyDescent="0.35">
      <c r="A38" s="4">
        <v>33</v>
      </c>
      <c r="B38" t="s">
        <v>82</v>
      </c>
      <c r="C38" t="s">
        <v>82</v>
      </c>
      <c r="D38" t="s">
        <v>17</v>
      </c>
      <c r="E38" t="s">
        <v>83</v>
      </c>
      <c r="F38" t="s">
        <v>85</v>
      </c>
      <c r="G38">
        <v>3.5</v>
      </c>
      <c r="H38" s="13">
        <v>325.15000000000003</v>
      </c>
      <c r="I38" s="13">
        <f t="shared" si="0"/>
        <v>1138.0250000000001</v>
      </c>
      <c r="J38" s="13">
        <f t="shared" si="1"/>
        <v>1138.0250000000001</v>
      </c>
    </row>
    <row r="39" spans="1:10" x14ac:dyDescent="0.35">
      <c r="A39" s="4">
        <v>34</v>
      </c>
      <c r="B39" t="s">
        <v>86</v>
      </c>
      <c r="C39" t="s">
        <v>86</v>
      </c>
      <c r="D39" t="s">
        <v>17</v>
      </c>
      <c r="E39" t="s">
        <v>87</v>
      </c>
      <c r="F39" t="s">
        <v>88</v>
      </c>
      <c r="G39" s="12">
        <v>5.0000001634890658</v>
      </c>
      <c r="H39" s="13">
        <v>611.6617</v>
      </c>
      <c r="I39" s="13">
        <f t="shared" si="0"/>
        <v>3058.3085999999998</v>
      </c>
      <c r="J39" s="13">
        <f t="shared" si="1"/>
        <v>3058.3085999999998</v>
      </c>
    </row>
    <row r="40" spans="1:10" x14ac:dyDescent="0.35">
      <c r="A40" s="4">
        <v>35</v>
      </c>
      <c r="B40" t="s">
        <v>89</v>
      </c>
      <c r="C40" t="s">
        <v>89</v>
      </c>
      <c r="D40" t="s">
        <v>17</v>
      </c>
      <c r="E40" t="s">
        <v>34</v>
      </c>
      <c r="F40" t="s">
        <v>90</v>
      </c>
      <c r="G40">
        <v>0.15</v>
      </c>
      <c r="H40" s="13">
        <v>43313.625</v>
      </c>
      <c r="I40" s="13">
        <f t="shared" si="0"/>
        <v>6497.0437499999998</v>
      </c>
      <c r="J40" s="13">
        <f t="shared" si="1"/>
        <v>6497.0437499999998</v>
      </c>
    </row>
    <row r="41" spans="1:10" x14ac:dyDescent="0.35">
      <c r="A41" s="4">
        <v>36</v>
      </c>
      <c r="B41" t="s">
        <v>89</v>
      </c>
      <c r="C41" t="s">
        <v>89</v>
      </c>
      <c r="D41" t="s">
        <v>17</v>
      </c>
      <c r="E41" t="s">
        <v>34</v>
      </c>
      <c r="F41" t="s">
        <v>91</v>
      </c>
      <c r="G41">
        <v>0.2</v>
      </c>
      <c r="H41" s="13">
        <v>11561.0275</v>
      </c>
      <c r="I41" s="13">
        <f t="shared" si="0"/>
        <v>2312.2055</v>
      </c>
      <c r="J41" s="13">
        <f t="shared" si="1"/>
        <v>2312.2055</v>
      </c>
    </row>
    <row r="42" spans="1:10" x14ac:dyDescent="0.35">
      <c r="A42" s="4">
        <v>37</v>
      </c>
      <c r="B42" t="s">
        <v>89</v>
      </c>
      <c r="C42" t="s">
        <v>89</v>
      </c>
      <c r="D42" t="s">
        <v>17</v>
      </c>
      <c r="E42" t="s">
        <v>34</v>
      </c>
      <c r="F42" t="s">
        <v>92</v>
      </c>
      <c r="G42">
        <v>0.35</v>
      </c>
      <c r="H42" s="13">
        <v>5814.7020000000002</v>
      </c>
      <c r="I42" s="13">
        <f t="shared" si="0"/>
        <v>2035.1457</v>
      </c>
      <c r="J42" s="13">
        <f t="shared" si="1"/>
        <v>2035.1457</v>
      </c>
    </row>
    <row r="43" spans="1:10" x14ac:dyDescent="0.35">
      <c r="A43" s="4">
        <v>38</v>
      </c>
      <c r="B43" t="s">
        <v>89</v>
      </c>
      <c r="C43" t="s">
        <v>89</v>
      </c>
      <c r="D43" t="s">
        <v>17</v>
      </c>
      <c r="E43" t="s">
        <v>93</v>
      </c>
      <c r="F43" t="s">
        <v>94</v>
      </c>
      <c r="G43">
        <v>0.3</v>
      </c>
      <c r="H43" s="13">
        <v>0.36</v>
      </c>
      <c r="I43" s="13">
        <f t="shared" si="0"/>
        <v>0.108</v>
      </c>
      <c r="J43" s="13">
        <f t="shared" si="1"/>
        <v>0.108</v>
      </c>
    </row>
    <row r="44" spans="1:10" x14ac:dyDescent="0.35">
      <c r="A44" s="4">
        <v>39</v>
      </c>
      <c r="B44" t="s">
        <v>89</v>
      </c>
      <c r="C44" t="s">
        <v>89</v>
      </c>
      <c r="D44" t="s">
        <v>17</v>
      </c>
      <c r="E44" t="s">
        <v>93</v>
      </c>
      <c r="F44" t="s">
        <v>95</v>
      </c>
      <c r="G44">
        <v>0.75</v>
      </c>
      <c r="H44" s="13">
        <v>9.8089333333333339</v>
      </c>
      <c r="I44" s="13">
        <f t="shared" si="0"/>
        <v>7.3567</v>
      </c>
      <c r="J44" s="13">
        <f t="shared" si="1"/>
        <v>7.3567</v>
      </c>
    </row>
    <row r="45" spans="1:10" x14ac:dyDescent="0.35">
      <c r="A45" s="4">
        <v>40</v>
      </c>
      <c r="B45" t="s">
        <v>89</v>
      </c>
      <c r="C45" t="s">
        <v>89</v>
      </c>
      <c r="D45" t="s">
        <v>17</v>
      </c>
      <c r="E45" t="s">
        <v>93</v>
      </c>
      <c r="F45" t="s">
        <v>96</v>
      </c>
      <c r="G45">
        <v>1.5</v>
      </c>
      <c r="H45" s="13">
        <v>1.0943333333333334</v>
      </c>
      <c r="I45" s="13">
        <f t="shared" si="0"/>
        <v>1.6415000000000002</v>
      </c>
      <c r="J45" s="13">
        <f t="shared" si="1"/>
        <v>1.6415000000000002</v>
      </c>
    </row>
    <row r="46" spans="1:10" x14ac:dyDescent="0.35">
      <c r="A46" s="4">
        <v>41</v>
      </c>
      <c r="B46" t="s">
        <v>89</v>
      </c>
      <c r="C46" t="s">
        <v>89</v>
      </c>
      <c r="D46" t="s">
        <v>17</v>
      </c>
      <c r="E46" t="s">
        <v>97</v>
      </c>
      <c r="F46" t="s">
        <v>98</v>
      </c>
      <c r="G46">
        <v>1.2500000000000001E-2</v>
      </c>
      <c r="H46" s="13">
        <v>59520</v>
      </c>
      <c r="I46" s="13">
        <f t="shared" si="0"/>
        <v>744</v>
      </c>
      <c r="J46" s="13">
        <f t="shared" si="1"/>
        <v>744</v>
      </c>
    </row>
    <row r="47" spans="1:10" x14ac:dyDescent="0.35">
      <c r="A47" s="4">
        <v>42</v>
      </c>
      <c r="B47" t="s">
        <v>89</v>
      </c>
      <c r="C47" t="s">
        <v>89</v>
      </c>
      <c r="D47" t="s">
        <v>39</v>
      </c>
      <c r="E47" t="s">
        <v>99</v>
      </c>
      <c r="F47" t="s">
        <v>100</v>
      </c>
      <c r="G47">
        <v>3</v>
      </c>
      <c r="H47" s="13">
        <v>1</v>
      </c>
      <c r="I47" s="13">
        <f t="shared" si="0"/>
        <v>3</v>
      </c>
      <c r="J47" s="13">
        <f t="shared" si="1"/>
        <v>3</v>
      </c>
    </row>
    <row r="48" spans="1:10" x14ac:dyDescent="0.35">
      <c r="A48" s="4">
        <v>43</v>
      </c>
      <c r="B48" t="s">
        <v>89</v>
      </c>
      <c r="C48" t="s">
        <v>89</v>
      </c>
      <c r="D48" t="s">
        <v>39</v>
      </c>
      <c r="E48" t="s">
        <v>99</v>
      </c>
      <c r="F48" t="s">
        <v>101</v>
      </c>
      <c r="G48">
        <v>3</v>
      </c>
      <c r="H48" s="13">
        <v>10</v>
      </c>
      <c r="I48" s="13">
        <f t="shared" si="0"/>
        <v>30</v>
      </c>
      <c r="J48" s="13">
        <f t="shared" si="1"/>
        <v>30</v>
      </c>
    </row>
    <row r="49" spans="1:10" x14ac:dyDescent="0.35">
      <c r="A49" s="4">
        <v>44</v>
      </c>
      <c r="B49" t="s">
        <v>89</v>
      </c>
      <c r="C49" t="s">
        <v>89</v>
      </c>
      <c r="D49" t="s">
        <v>17</v>
      </c>
      <c r="E49" t="s">
        <v>83</v>
      </c>
      <c r="F49" t="s">
        <v>102</v>
      </c>
      <c r="G49">
        <v>0.01</v>
      </c>
      <c r="H49" s="13">
        <v>1061.32</v>
      </c>
      <c r="I49" s="13">
        <f t="shared" si="0"/>
        <v>10.613199999999999</v>
      </c>
      <c r="J49" s="13">
        <f t="shared" si="1"/>
        <v>10.613199999999999</v>
      </c>
    </row>
    <row r="50" spans="1:10" x14ac:dyDescent="0.35">
      <c r="A50" s="4">
        <v>45</v>
      </c>
      <c r="B50" t="s">
        <v>89</v>
      </c>
      <c r="C50" t="s">
        <v>89</v>
      </c>
      <c r="D50" t="s">
        <v>17</v>
      </c>
      <c r="E50" t="s">
        <v>103</v>
      </c>
      <c r="F50" t="s">
        <v>104</v>
      </c>
      <c r="G50">
        <v>0.03</v>
      </c>
      <c r="H50" s="13">
        <v>187261.37666666668</v>
      </c>
      <c r="I50" s="13">
        <f t="shared" si="0"/>
        <v>5617.8413</v>
      </c>
      <c r="J50" s="13">
        <f t="shared" si="1"/>
        <v>5617.8413</v>
      </c>
    </row>
    <row r="51" spans="1:10" x14ac:dyDescent="0.35">
      <c r="A51" s="4">
        <v>46</v>
      </c>
      <c r="B51" t="s">
        <v>89</v>
      </c>
      <c r="C51" t="s">
        <v>89</v>
      </c>
      <c r="D51" t="s">
        <v>17</v>
      </c>
      <c r="E51" t="s">
        <v>34</v>
      </c>
      <c r="F51" t="s">
        <v>105</v>
      </c>
      <c r="G51">
        <v>0.10100000000000001</v>
      </c>
      <c r="H51" s="13">
        <v>28.277999999999999</v>
      </c>
      <c r="I51" s="13">
        <f t="shared" si="0"/>
        <v>2.8560780000000001</v>
      </c>
      <c r="J51" s="13">
        <f t="shared" si="1"/>
        <v>2.8560780000000001</v>
      </c>
    </row>
    <row r="52" spans="1:10" x14ac:dyDescent="0.35">
      <c r="A52" s="4">
        <v>47</v>
      </c>
      <c r="B52" t="s">
        <v>89</v>
      </c>
      <c r="C52" t="s">
        <v>89</v>
      </c>
      <c r="D52" t="s">
        <v>17</v>
      </c>
      <c r="E52" t="s">
        <v>34</v>
      </c>
      <c r="F52" t="s">
        <v>106</v>
      </c>
      <c r="G52">
        <v>0.20100000000000001</v>
      </c>
      <c r="H52" s="13">
        <v>469.46915422885564</v>
      </c>
      <c r="I52" s="13">
        <f t="shared" si="0"/>
        <v>94.363299999999995</v>
      </c>
      <c r="J52" s="13">
        <f t="shared" si="1"/>
        <v>94.363299999999995</v>
      </c>
    </row>
    <row r="53" spans="1:10" x14ac:dyDescent="0.35">
      <c r="A53" s="4">
        <v>48</v>
      </c>
      <c r="B53" t="s">
        <v>89</v>
      </c>
      <c r="C53" t="s">
        <v>89</v>
      </c>
      <c r="D53" t="s">
        <v>17</v>
      </c>
      <c r="E53" t="s">
        <v>34</v>
      </c>
      <c r="F53" t="s">
        <v>107</v>
      </c>
      <c r="G53">
        <v>0.33500000000000002</v>
      </c>
      <c r="H53" s="13">
        <v>248.58597014925374</v>
      </c>
      <c r="I53" s="13">
        <f t="shared" si="0"/>
        <v>83.276300000000006</v>
      </c>
      <c r="J53" s="13">
        <f t="shared" si="1"/>
        <v>83.276300000000006</v>
      </c>
    </row>
    <row r="54" spans="1:10" x14ac:dyDescent="0.35">
      <c r="A54" s="4">
        <v>49</v>
      </c>
      <c r="B54" t="s">
        <v>89</v>
      </c>
      <c r="C54" t="s">
        <v>89</v>
      </c>
      <c r="D54" t="s">
        <v>17</v>
      </c>
      <c r="E54" t="s">
        <v>108</v>
      </c>
      <c r="F54" t="s">
        <v>109</v>
      </c>
      <c r="G54">
        <v>0.3</v>
      </c>
      <c r="H54" s="13">
        <v>3593.2754999999997</v>
      </c>
      <c r="I54" s="13">
        <f t="shared" si="0"/>
        <v>1077.9826499999999</v>
      </c>
      <c r="J54" s="13">
        <f t="shared" si="1"/>
        <v>1077.9826499999999</v>
      </c>
    </row>
    <row r="55" spans="1:10" x14ac:dyDescent="0.35">
      <c r="A55" s="4">
        <v>50</v>
      </c>
      <c r="B55" t="s">
        <v>89</v>
      </c>
      <c r="C55" t="s">
        <v>89</v>
      </c>
      <c r="D55" t="s">
        <v>17</v>
      </c>
      <c r="E55" t="s">
        <v>110</v>
      </c>
      <c r="F55" t="s">
        <v>111</v>
      </c>
      <c r="G55">
        <v>0.1</v>
      </c>
      <c r="H55" s="13">
        <v>18781.548999999999</v>
      </c>
      <c r="I55" s="13">
        <f t="shared" si="0"/>
        <v>1878.1549</v>
      </c>
      <c r="J55" s="13">
        <f t="shared" si="1"/>
        <v>1878.1549</v>
      </c>
    </row>
    <row r="56" spans="1:10" x14ac:dyDescent="0.35">
      <c r="A56" s="4">
        <v>51</v>
      </c>
      <c r="B56" t="s">
        <v>89</v>
      </c>
      <c r="C56" t="s">
        <v>89</v>
      </c>
      <c r="D56" t="s">
        <v>17</v>
      </c>
      <c r="E56" t="s">
        <v>110</v>
      </c>
      <c r="F56" t="s">
        <v>112</v>
      </c>
      <c r="G56">
        <v>0.18</v>
      </c>
      <c r="H56" s="13">
        <v>1085.4205555555557</v>
      </c>
      <c r="I56" s="13">
        <f t="shared" si="0"/>
        <v>195.37570000000002</v>
      </c>
      <c r="J56" s="13">
        <f t="shared" si="1"/>
        <v>195.37570000000002</v>
      </c>
    </row>
    <row r="57" spans="1:10" x14ac:dyDescent="0.35">
      <c r="A57" s="4">
        <v>52</v>
      </c>
      <c r="B57" t="s">
        <v>89</v>
      </c>
      <c r="C57" t="s">
        <v>89</v>
      </c>
      <c r="D57" t="s">
        <v>17</v>
      </c>
      <c r="E57" t="s">
        <v>110</v>
      </c>
      <c r="F57" t="s">
        <v>113</v>
      </c>
      <c r="G57">
        <v>0.21</v>
      </c>
      <c r="H57" s="13">
        <v>653.40238095238089</v>
      </c>
      <c r="I57" s="13">
        <f t="shared" si="0"/>
        <v>137.21449999999999</v>
      </c>
      <c r="J57" s="13">
        <f t="shared" si="1"/>
        <v>137.21449999999999</v>
      </c>
    </row>
    <row r="58" spans="1:10" x14ac:dyDescent="0.35">
      <c r="A58" s="4">
        <v>53</v>
      </c>
      <c r="B58" t="s">
        <v>89</v>
      </c>
      <c r="C58" t="s">
        <v>89</v>
      </c>
      <c r="D58" t="s">
        <v>17</v>
      </c>
      <c r="E58" t="s">
        <v>34</v>
      </c>
      <c r="F58" t="s">
        <v>114</v>
      </c>
      <c r="G58">
        <v>0.33500000000000002</v>
      </c>
      <c r="H58" s="13">
        <v>8445.1805970149253</v>
      </c>
      <c r="I58" s="13">
        <f t="shared" si="0"/>
        <v>2829.1355000000003</v>
      </c>
      <c r="J58" s="13">
        <f t="shared" si="1"/>
        <v>2829.1355000000003</v>
      </c>
    </row>
    <row r="59" spans="1:10" x14ac:dyDescent="0.35">
      <c r="A59" s="4">
        <v>54</v>
      </c>
      <c r="B59" t="s">
        <v>89</v>
      </c>
      <c r="C59" t="s">
        <v>89</v>
      </c>
      <c r="D59" t="s">
        <v>17</v>
      </c>
      <c r="E59" t="s">
        <v>34</v>
      </c>
      <c r="F59" t="s">
        <v>115</v>
      </c>
      <c r="G59">
        <v>0.67</v>
      </c>
      <c r="H59" s="13">
        <v>2799.94</v>
      </c>
      <c r="I59" s="13">
        <f t="shared" si="0"/>
        <v>1875.9598000000001</v>
      </c>
      <c r="J59" s="13">
        <f t="shared" si="1"/>
        <v>1875.9598000000001</v>
      </c>
    </row>
    <row r="60" spans="1:10" x14ac:dyDescent="0.35">
      <c r="A60" s="4">
        <v>55</v>
      </c>
      <c r="B60" t="s">
        <v>89</v>
      </c>
      <c r="C60" t="s">
        <v>89</v>
      </c>
      <c r="D60" t="s">
        <v>17</v>
      </c>
      <c r="E60" t="s">
        <v>34</v>
      </c>
      <c r="F60" t="s">
        <v>116</v>
      </c>
      <c r="G60">
        <v>0.67</v>
      </c>
      <c r="H60" s="13">
        <v>7760.4750746268646</v>
      </c>
      <c r="I60" s="13">
        <f t="shared" si="0"/>
        <v>5199.5182999999997</v>
      </c>
      <c r="J60" s="13">
        <f t="shared" si="1"/>
        <v>5199.5182999999997</v>
      </c>
    </row>
    <row r="61" spans="1:10" x14ac:dyDescent="0.35">
      <c r="A61" s="4">
        <v>56</v>
      </c>
      <c r="B61" t="s">
        <v>89</v>
      </c>
      <c r="C61" t="s">
        <v>89</v>
      </c>
      <c r="D61" t="s">
        <v>17</v>
      </c>
      <c r="E61" t="s">
        <v>34</v>
      </c>
      <c r="F61" t="s">
        <v>117</v>
      </c>
      <c r="G61">
        <v>6.7000000000000002E-3</v>
      </c>
      <c r="H61" s="13">
        <v>571282.39859999996</v>
      </c>
      <c r="I61" s="13">
        <f t="shared" si="0"/>
        <v>3827.59207062</v>
      </c>
      <c r="J61" s="13">
        <f t="shared" si="1"/>
        <v>3827.59207062</v>
      </c>
    </row>
    <row r="62" spans="1:10" x14ac:dyDescent="0.35">
      <c r="A62" s="4">
        <v>57</v>
      </c>
      <c r="B62" t="s">
        <v>89</v>
      </c>
      <c r="C62" t="s">
        <v>89</v>
      </c>
      <c r="D62" t="s">
        <v>17</v>
      </c>
      <c r="E62" t="s">
        <v>118</v>
      </c>
      <c r="F62" t="s">
        <v>119</v>
      </c>
      <c r="G62">
        <v>0.1</v>
      </c>
      <c r="H62" s="13">
        <v>824</v>
      </c>
      <c r="I62" s="13">
        <f t="shared" si="0"/>
        <v>82.4</v>
      </c>
      <c r="J62" s="13">
        <f t="shared" si="1"/>
        <v>82.4</v>
      </c>
    </row>
    <row r="63" spans="1:10" x14ac:dyDescent="0.35">
      <c r="A63" s="4">
        <v>58</v>
      </c>
      <c r="B63" t="s">
        <v>89</v>
      </c>
      <c r="C63" t="s">
        <v>89</v>
      </c>
      <c r="D63" t="s">
        <v>17</v>
      </c>
      <c r="E63" t="s">
        <v>120</v>
      </c>
      <c r="F63" t="s">
        <v>121</v>
      </c>
      <c r="G63">
        <v>9.9999999999999995E-7</v>
      </c>
      <c r="H63" s="13">
        <v>2184145800</v>
      </c>
      <c r="I63" s="13">
        <f t="shared" si="0"/>
        <v>2184.1457999999998</v>
      </c>
      <c r="J63" s="13">
        <f t="shared" si="1"/>
        <v>2184.1457999999998</v>
      </c>
    </row>
    <row r="64" spans="1:10" x14ac:dyDescent="0.35">
      <c r="A64" s="4">
        <v>59</v>
      </c>
      <c r="B64" t="s">
        <v>89</v>
      </c>
      <c r="C64" t="s">
        <v>89</v>
      </c>
      <c r="D64" t="s">
        <v>17</v>
      </c>
      <c r="E64" t="s">
        <v>122</v>
      </c>
      <c r="F64" t="s">
        <v>123</v>
      </c>
      <c r="G64">
        <v>1.6999999999999999E-3</v>
      </c>
      <c r="H64" s="13">
        <v>80352</v>
      </c>
      <c r="I64" s="13">
        <f t="shared" si="0"/>
        <v>136.5984</v>
      </c>
      <c r="J64" s="13">
        <f t="shared" si="1"/>
        <v>136.5984</v>
      </c>
    </row>
    <row r="65" spans="1:10" x14ac:dyDescent="0.35">
      <c r="A65" s="4">
        <v>60</v>
      </c>
      <c r="B65" t="s">
        <v>124</v>
      </c>
      <c r="C65" t="s">
        <v>124</v>
      </c>
      <c r="D65" t="s">
        <v>17</v>
      </c>
      <c r="E65" t="s">
        <v>125</v>
      </c>
      <c r="F65" t="s">
        <v>126</v>
      </c>
      <c r="G65">
        <v>20</v>
      </c>
      <c r="H65" s="13">
        <v>80</v>
      </c>
      <c r="I65" s="13">
        <f t="shared" si="0"/>
        <v>1600</v>
      </c>
      <c r="J65" s="13">
        <f t="shared" si="1"/>
        <v>1600</v>
      </c>
    </row>
    <row r="66" spans="1:10" x14ac:dyDescent="0.35">
      <c r="A66" s="4">
        <v>61</v>
      </c>
      <c r="B66" t="s">
        <v>124</v>
      </c>
      <c r="C66" t="s">
        <v>124</v>
      </c>
      <c r="D66" t="s">
        <v>17</v>
      </c>
      <c r="E66" t="s">
        <v>125</v>
      </c>
      <c r="F66" t="s">
        <v>127</v>
      </c>
      <c r="G66">
        <v>20</v>
      </c>
      <c r="H66" s="13">
        <v>80</v>
      </c>
      <c r="I66" s="13">
        <f t="shared" si="0"/>
        <v>1600</v>
      </c>
      <c r="J66" s="13">
        <f t="shared" si="1"/>
        <v>1600</v>
      </c>
    </row>
    <row r="67" spans="1:10" x14ac:dyDescent="0.35">
      <c r="A67" s="4">
        <v>62</v>
      </c>
      <c r="B67" t="s">
        <v>124</v>
      </c>
      <c r="C67" t="s">
        <v>124</v>
      </c>
      <c r="D67" t="s">
        <v>17</v>
      </c>
      <c r="E67" t="s">
        <v>125</v>
      </c>
      <c r="F67" t="s">
        <v>128</v>
      </c>
      <c r="G67">
        <v>20</v>
      </c>
      <c r="H67" s="13">
        <v>80</v>
      </c>
      <c r="I67" s="13">
        <f t="shared" si="0"/>
        <v>1600</v>
      </c>
      <c r="J67" s="13">
        <f t="shared" si="1"/>
        <v>1600</v>
      </c>
    </row>
    <row r="68" spans="1:10" x14ac:dyDescent="0.35">
      <c r="A68" s="4">
        <v>63</v>
      </c>
      <c r="B68" t="s">
        <v>124</v>
      </c>
      <c r="C68" t="s">
        <v>124</v>
      </c>
      <c r="D68" t="s">
        <v>17</v>
      </c>
      <c r="E68" t="s">
        <v>129</v>
      </c>
      <c r="F68" t="s">
        <v>130</v>
      </c>
      <c r="G68">
        <v>1.1249999999999999E-3</v>
      </c>
      <c r="H68" s="13">
        <v>45013571</v>
      </c>
      <c r="I68" s="13">
        <f t="shared" si="0"/>
        <v>50640.267374999996</v>
      </c>
      <c r="J68" s="13">
        <f t="shared" si="1"/>
        <v>50640.267374999996</v>
      </c>
    </row>
    <row r="69" spans="1:10" x14ac:dyDescent="0.35">
      <c r="A69" s="4">
        <v>64</v>
      </c>
      <c r="B69" t="s">
        <v>124</v>
      </c>
      <c r="C69" t="s">
        <v>124</v>
      </c>
      <c r="D69" t="s">
        <v>17</v>
      </c>
      <c r="E69" t="s">
        <v>129</v>
      </c>
      <c r="F69" t="s">
        <v>131</v>
      </c>
      <c r="G69">
        <v>1.5E-3</v>
      </c>
      <c r="H69" s="13">
        <v>4729665</v>
      </c>
      <c r="I69" s="13">
        <f t="shared" si="0"/>
        <v>7094.4975000000004</v>
      </c>
      <c r="J69" s="13">
        <f t="shared" si="1"/>
        <v>7094.4975000000004</v>
      </c>
    </row>
    <row r="70" spans="1:10" x14ac:dyDescent="0.35">
      <c r="A70" s="4">
        <v>65</v>
      </c>
      <c r="B70" t="s">
        <v>124</v>
      </c>
      <c r="C70" t="s">
        <v>124</v>
      </c>
      <c r="D70" t="s">
        <v>17</v>
      </c>
      <c r="E70" t="s">
        <v>129</v>
      </c>
      <c r="F70" t="s">
        <v>132</v>
      </c>
      <c r="G70">
        <v>2.2499999999999998E-3</v>
      </c>
      <c r="H70" s="13">
        <v>223279</v>
      </c>
      <c r="I70" s="13">
        <f t="shared" ref="I70:I133" si="2">G70*H70</f>
        <v>502.37774999999993</v>
      </c>
      <c r="J70" s="13">
        <f t="shared" ref="J70:J133" si="3">I70</f>
        <v>502.37774999999993</v>
      </c>
    </row>
    <row r="71" spans="1:10" x14ac:dyDescent="0.35">
      <c r="A71" s="4">
        <v>66</v>
      </c>
      <c r="B71" t="s">
        <v>133</v>
      </c>
      <c r="C71" t="s">
        <v>133</v>
      </c>
      <c r="D71" t="s">
        <v>17</v>
      </c>
      <c r="E71" t="s">
        <v>134</v>
      </c>
      <c r="F71" t="s">
        <v>135</v>
      </c>
      <c r="G71">
        <v>4.1999999999999997E-3</v>
      </c>
      <c r="H71" s="13">
        <v>1488</v>
      </c>
      <c r="I71" s="13">
        <f t="shared" si="2"/>
        <v>6.2496</v>
      </c>
      <c r="J71" s="13">
        <f t="shared" si="3"/>
        <v>6.2496</v>
      </c>
    </row>
    <row r="72" spans="1:10" x14ac:dyDescent="0.35">
      <c r="A72" s="4">
        <v>67</v>
      </c>
      <c r="B72" t="s">
        <v>136</v>
      </c>
      <c r="C72" t="s">
        <v>136</v>
      </c>
      <c r="D72" t="s">
        <v>17</v>
      </c>
      <c r="E72" t="s">
        <v>103</v>
      </c>
      <c r="F72" t="s">
        <v>137</v>
      </c>
      <c r="G72">
        <v>0.05</v>
      </c>
      <c r="H72" s="13">
        <v>27580.787400000001</v>
      </c>
      <c r="I72" s="13">
        <f t="shared" si="2"/>
        <v>1379.0393700000002</v>
      </c>
      <c r="J72" s="13">
        <f t="shared" si="3"/>
        <v>1379.0393700000002</v>
      </c>
    </row>
    <row r="73" spans="1:10" x14ac:dyDescent="0.35">
      <c r="A73" s="4">
        <v>68</v>
      </c>
      <c r="B73" t="s">
        <v>136</v>
      </c>
      <c r="C73" t="s">
        <v>136</v>
      </c>
      <c r="D73" t="s">
        <v>17</v>
      </c>
      <c r="E73" t="s">
        <v>103</v>
      </c>
      <c r="F73" t="s">
        <v>138</v>
      </c>
      <c r="G73">
        <v>0.114</v>
      </c>
      <c r="H73" s="13">
        <v>21613.146491228072</v>
      </c>
      <c r="I73" s="13">
        <f t="shared" si="2"/>
        <v>2463.8987000000002</v>
      </c>
      <c r="J73" s="13">
        <f t="shared" si="3"/>
        <v>2463.8987000000002</v>
      </c>
    </row>
    <row r="74" spans="1:10" x14ac:dyDescent="0.35">
      <c r="A74" s="4">
        <v>69</v>
      </c>
      <c r="B74" t="s">
        <v>136</v>
      </c>
      <c r="C74" t="s">
        <v>136</v>
      </c>
      <c r="D74" t="s">
        <v>17</v>
      </c>
      <c r="E74" t="s">
        <v>139</v>
      </c>
      <c r="F74" t="s">
        <v>140</v>
      </c>
      <c r="G74">
        <v>5.7000000000000002E-3</v>
      </c>
      <c r="H74" s="13">
        <v>39000</v>
      </c>
      <c r="I74" s="13">
        <f t="shared" si="2"/>
        <v>222.3</v>
      </c>
      <c r="J74" s="13">
        <f t="shared" si="3"/>
        <v>222.3</v>
      </c>
    </row>
    <row r="75" spans="1:10" x14ac:dyDescent="0.35">
      <c r="A75" s="4">
        <v>70</v>
      </c>
      <c r="B75" t="s">
        <v>136</v>
      </c>
      <c r="C75" t="s">
        <v>136</v>
      </c>
      <c r="D75" t="s">
        <v>17</v>
      </c>
      <c r="E75" t="s">
        <v>141</v>
      </c>
      <c r="F75" t="s">
        <v>142</v>
      </c>
      <c r="G75">
        <v>4.5600000000000002E-2</v>
      </c>
      <c r="H75" s="13">
        <v>562</v>
      </c>
      <c r="I75" s="13">
        <f t="shared" si="2"/>
        <v>25.627200000000002</v>
      </c>
      <c r="J75" s="13">
        <f t="shared" si="3"/>
        <v>25.627200000000002</v>
      </c>
    </row>
    <row r="76" spans="1:10" x14ac:dyDescent="0.35">
      <c r="A76" s="4">
        <v>71</v>
      </c>
      <c r="B76" t="s">
        <v>136</v>
      </c>
      <c r="C76" t="s">
        <v>136</v>
      </c>
      <c r="D76" t="s">
        <v>17</v>
      </c>
      <c r="E76" t="s">
        <v>103</v>
      </c>
      <c r="F76" t="s">
        <v>143</v>
      </c>
      <c r="G76">
        <v>9.1200000000000003E-2</v>
      </c>
      <c r="H76" s="13">
        <v>23588</v>
      </c>
      <c r="I76" s="13">
        <f t="shared" si="2"/>
        <v>2151.2256000000002</v>
      </c>
      <c r="J76" s="13">
        <f t="shared" si="3"/>
        <v>2151.2256000000002</v>
      </c>
    </row>
    <row r="77" spans="1:10" x14ac:dyDescent="0.35">
      <c r="A77" s="4">
        <v>72</v>
      </c>
      <c r="B77" t="s">
        <v>136</v>
      </c>
      <c r="C77" t="s">
        <v>136</v>
      </c>
      <c r="D77" t="s">
        <v>144</v>
      </c>
      <c r="E77" t="s">
        <v>44</v>
      </c>
      <c r="F77" t="s">
        <v>145</v>
      </c>
      <c r="G77">
        <v>0.34429999999999999</v>
      </c>
      <c r="H77" s="13">
        <v>744</v>
      </c>
      <c r="I77" s="13">
        <f t="shared" si="2"/>
        <v>256.1592</v>
      </c>
      <c r="J77" s="13">
        <f t="shared" si="3"/>
        <v>256.1592</v>
      </c>
    </row>
    <row r="78" spans="1:10" x14ac:dyDescent="0.35">
      <c r="A78" s="4">
        <v>73</v>
      </c>
      <c r="B78" t="s">
        <v>136</v>
      </c>
      <c r="C78" t="s">
        <v>136</v>
      </c>
      <c r="D78" t="s">
        <v>144</v>
      </c>
      <c r="E78" t="s">
        <v>44</v>
      </c>
      <c r="F78" t="s">
        <v>146</v>
      </c>
      <c r="G78">
        <v>0.70799999999999996</v>
      </c>
      <c r="H78" s="13">
        <v>744</v>
      </c>
      <c r="I78" s="13">
        <f t="shared" si="2"/>
        <v>526.75199999999995</v>
      </c>
      <c r="J78" s="13">
        <f t="shared" si="3"/>
        <v>526.75199999999995</v>
      </c>
    </row>
    <row r="79" spans="1:10" x14ac:dyDescent="0.35">
      <c r="A79" s="4">
        <v>74</v>
      </c>
      <c r="B79" t="s">
        <v>136</v>
      </c>
      <c r="C79" t="s">
        <v>136</v>
      </c>
      <c r="D79" t="s">
        <v>144</v>
      </c>
      <c r="E79" t="s">
        <v>44</v>
      </c>
      <c r="F79" t="s">
        <v>147</v>
      </c>
      <c r="G79">
        <v>0.77200000000000002</v>
      </c>
      <c r="H79" s="13">
        <v>744</v>
      </c>
      <c r="I79" s="13">
        <f t="shared" si="2"/>
        <v>574.36800000000005</v>
      </c>
      <c r="J79" s="13">
        <f t="shared" si="3"/>
        <v>574.36800000000005</v>
      </c>
    </row>
    <row r="80" spans="1:10" x14ac:dyDescent="0.35">
      <c r="A80" s="4">
        <v>75</v>
      </c>
      <c r="B80" t="s">
        <v>136</v>
      </c>
      <c r="C80" t="s">
        <v>136</v>
      </c>
      <c r="D80" t="s">
        <v>144</v>
      </c>
      <c r="E80" t="s">
        <v>44</v>
      </c>
      <c r="F80" t="s">
        <v>148</v>
      </c>
      <c r="G80">
        <v>0.88800000000000001</v>
      </c>
      <c r="H80" s="13">
        <v>744</v>
      </c>
      <c r="I80" s="13">
        <f t="shared" si="2"/>
        <v>660.67200000000003</v>
      </c>
      <c r="J80" s="13">
        <f t="shared" si="3"/>
        <v>660.67200000000003</v>
      </c>
    </row>
    <row r="81" spans="1:10" x14ac:dyDescent="0.35">
      <c r="A81" s="4">
        <v>76</v>
      </c>
      <c r="B81" t="s">
        <v>136</v>
      </c>
      <c r="C81" t="s">
        <v>136</v>
      </c>
      <c r="D81" t="s">
        <v>144</v>
      </c>
      <c r="E81" t="s">
        <v>44</v>
      </c>
      <c r="F81" t="s">
        <v>149</v>
      </c>
      <c r="G81">
        <v>5.2320000000000002</v>
      </c>
      <c r="H81" s="13">
        <v>744</v>
      </c>
      <c r="I81" s="13">
        <f t="shared" si="2"/>
        <v>3892.6080000000002</v>
      </c>
      <c r="J81" s="13">
        <f t="shared" si="3"/>
        <v>3892.6080000000002</v>
      </c>
    </row>
    <row r="82" spans="1:10" x14ac:dyDescent="0.35">
      <c r="A82" s="4">
        <v>77</v>
      </c>
      <c r="B82" t="s">
        <v>136</v>
      </c>
      <c r="C82" t="s">
        <v>136</v>
      </c>
      <c r="D82" t="s">
        <v>144</v>
      </c>
      <c r="E82" t="s">
        <v>44</v>
      </c>
      <c r="F82" t="s">
        <v>150</v>
      </c>
      <c r="G82">
        <v>5.3280000000000003</v>
      </c>
      <c r="H82" s="13">
        <v>744</v>
      </c>
      <c r="I82" s="13">
        <f t="shared" si="2"/>
        <v>3964.0320000000002</v>
      </c>
      <c r="J82" s="13">
        <f t="shared" si="3"/>
        <v>3964.0320000000002</v>
      </c>
    </row>
    <row r="83" spans="1:10" x14ac:dyDescent="0.35">
      <c r="A83" s="4">
        <v>78</v>
      </c>
      <c r="B83" t="s">
        <v>136</v>
      </c>
      <c r="C83" t="s">
        <v>136</v>
      </c>
      <c r="D83" t="s">
        <v>144</v>
      </c>
      <c r="E83" t="s">
        <v>44</v>
      </c>
      <c r="F83" t="s">
        <v>151</v>
      </c>
      <c r="G83">
        <v>7.8479999999999999</v>
      </c>
      <c r="H83" s="13">
        <v>744</v>
      </c>
      <c r="I83" s="13">
        <f t="shared" si="2"/>
        <v>5838.9120000000003</v>
      </c>
      <c r="J83" s="13">
        <f t="shared" si="3"/>
        <v>5838.9120000000003</v>
      </c>
    </row>
    <row r="84" spans="1:10" x14ac:dyDescent="0.35">
      <c r="A84" s="4">
        <v>79</v>
      </c>
      <c r="B84" t="s">
        <v>136</v>
      </c>
      <c r="C84" t="s">
        <v>136</v>
      </c>
      <c r="D84" t="s">
        <v>144</v>
      </c>
      <c r="E84" t="s">
        <v>44</v>
      </c>
      <c r="F84" t="s">
        <v>152</v>
      </c>
      <c r="G84">
        <v>1.2050000000000001</v>
      </c>
      <c r="H84" s="13">
        <v>744</v>
      </c>
      <c r="I84" s="13">
        <f t="shared" si="2"/>
        <v>896.5200000000001</v>
      </c>
      <c r="J84" s="13">
        <f t="shared" si="3"/>
        <v>896.5200000000001</v>
      </c>
    </row>
    <row r="85" spans="1:10" x14ac:dyDescent="0.35">
      <c r="A85" s="4">
        <v>80</v>
      </c>
      <c r="B85" t="s">
        <v>136</v>
      </c>
      <c r="C85" t="s">
        <v>136</v>
      </c>
      <c r="D85" t="s">
        <v>144</v>
      </c>
      <c r="E85" t="s">
        <v>44</v>
      </c>
      <c r="F85" t="s">
        <v>153</v>
      </c>
      <c r="G85">
        <v>1.24E-2</v>
      </c>
      <c r="H85" s="13">
        <v>743.66935483870975</v>
      </c>
      <c r="I85" s="13">
        <f t="shared" si="2"/>
        <v>9.2215000000000007</v>
      </c>
      <c r="J85" s="13">
        <f t="shared" si="3"/>
        <v>9.2215000000000007</v>
      </c>
    </row>
    <row r="86" spans="1:10" x14ac:dyDescent="0.35">
      <c r="A86" s="4">
        <v>81</v>
      </c>
      <c r="B86" t="s">
        <v>136</v>
      </c>
      <c r="C86" t="s">
        <v>136</v>
      </c>
      <c r="D86" t="s">
        <v>144</v>
      </c>
      <c r="E86" t="s">
        <v>44</v>
      </c>
      <c r="F86" t="s">
        <v>154</v>
      </c>
      <c r="G86">
        <v>0.34079999999999999</v>
      </c>
      <c r="H86" s="13">
        <v>744</v>
      </c>
      <c r="I86" s="13">
        <f t="shared" si="2"/>
        <v>253.55519999999999</v>
      </c>
      <c r="J86" s="13">
        <f t="shared" si="3"/>
        <v>253.55519999999999</v>
      </c>
    </row>
    <row r="87" spans="1:10" x14ac:dyDescent="0.35">
      <c r="A87" s="4">
        <v>82</v>
      </c>
      <c r="B87" t="s">
        <v>136</v>
      </c>
      <c r="C87" t="s">
        <v>136</v>
      </c>
      <c r="D87" t="s">
        <v>144</v>
      </c>
      <c r="E87" t="s">
        <v>44</v>
      </c>
      <c r="F87" t="s">
        <v>155</v>
      </c>
      <c r="G87">
        <v>0.40400000000000003</v>
      </c>
      <c r="H87" s="13">
        <v>1488</v>
      </c>
      <c r="I87" s="13">
        <f t="shared" si="2"/>
        <v>601.15200000000004</v>
      </c>
      <c r="J87" s="13">
        <f t="shared" si="3"/>
        <v>601.15200000000004</v>
      </c>
    </row>
    <row r="88" spans="1:10" x14ac:dyDescent="0.35">
      <c r="A88" s="4">
        <v>83</v>
      </c>
      <c r="B88" t="s">
        <v>136</v>
      </c>
      <c r="C88" t="s">
        <v>136</v>
      </c>
      <c r="D88" t="s">
        <v>144</v>
      </c>
      <c r="E88" t="s">
        <v>44</v>
      </c>
      <c r="F88" t="s">
        <v>156</v>
      </c>
      <c r="G88">
        <v>0.52</v>
      </c>
      <c r="H88" s="13">
        <v>744</v>
      </c>
      <c r="I88" s="13">
        <f t="shared" si="2"/>
        <v>386.88</v>
      </c>
      <c r="J88" s="13">
        <f t="shared" si="3"/>
        <v>386.88</v>
      </c>
    </row>
    <row r="89" spans="1:10" x14ac:dyDescent="0.35">
      <c r="A89" s="4">
        <v>84</v>
      </c>
      <c r="B89" t="s">
        <v>136</v>
      </c>
      <c r="C89" t="s">
        <v>136</v>
      </c>
      <c r="D89" t="s">
        <v>144</v>
      </c>
      <c r="E89" t="s">
        <v>44</v>
      </c>
      <c r="F89" t="s">
        <v>157</v>
      </c>
      <c r="G89">
        <v>0.68159999999999998</v>
      </c>
      <c r="H89" s="13">
        <v>744</v>
      </c>
      <c r="I89" s="13">
        <f t="shared" si="2"/>
        <v>507.11039999999997</v>
      </c>
      <c r="J89" s="13">
        <f t="shared" si="3"/>
        <v>507.11039999999997</v>
      </c>
    </row>
    <row r="90" spans="1:10" x14ac:dyDescent="0.35">
      <c r="A90" s="4">
        <v>85</v>
      </c>
      <c r="B90" t="s">
        <v>136</v>
      </c>
      <c r="C90" t="s">
        <v>136</v>
      </c>
      <c r="D90" t="s">
        <v>144</v>
      </c>
      <c r="E90" t="s">
        <v>44</v>
      </c>
      <c r="F90" t="s">
        <v>158</v>
      </c>
      <c r="G90">
        <v>0.68</v>
      </c>
      <c r="H90" s="13">
        <v>1488</v>
      </c>
      <c r="I90" s="13">
        <f t="shared" si="2"/>
        <v>1011.84</v>
      </c>
      <c r="J90" s="13">
        <f t="shared" si="3"/>
        <v>1011.84</v>
      </c>
    </row>
    <row r="91" spans="1:10" x14ac:dyDescent="0.35">
      <c r="A91" s="4">
        <v>86</v>
      </c>
      <c r="B91" t="s">
        <v>136</v>
      </c>
      <c r="C91" t="s">
        <v>136</v>
      </c>
      <c r="D91" t="s">
        <v>144</v>
      </c>
      <c r="E91" t="s">
        <v>44</v>
      </c>
      <c r="F91" t="s">
        <v>159</v>
      </c>
      <c r="G91">
        <v>0.80800000000000005</v>
      </c>
      <c r="H91" s="13">
        <v>24224.859100000001</v>
      </c>
      <c r="I91" s="13">
        <f t="shared" si="2"/>
        <v>19573.686152800001</v>
      </c>
      <c r="J91" s="13">
        <f t="shared" si="3"/>
        <v>19573.686152800001</v>
      </c>
    </row>
    <row r="92" spans="1:10" x14ac:dyDescent="0.35">
      <c r="A92" s="4">
        <v>87</v>
      </c>
      <c r="B92" t="s">
        <v>136</v>
      </c>
      <c r="C92" t="s">
        <v>136</v>
      </c>
      <c r="D92" t="s">
        <v>144</v>
      </c>
      <c r="E92" t="s">
        <v>44</v>
      </c>
      <c r="F92" t="s">
        <v>160</v>
      </c>
      <c r="G92">
        <v>1.04</v>
      </c>
      <c r="H92" s="13">
        <v>135547.22080000001</v>
      </c>
      <c r="I92" s="13">
        <f t="shared" si="2"/>
        <v>140969.10963200001</v>
      </c>
      <c r="J92" s="13">
        <f t="shared" si="3"/>
        <v>140969.10963200001</v>
      </c>
    </row>
    <row r="93" spans="1:10" x14ac:dyDescent="0.35">
      <c r="A93" s="4">
        <v>88</v>
      </c>
      <c r="B93" t="s">
        <v>136</v>
      </c>
      <c r="C93" t="s">
        <v>136</v>
      </c>
      <c r="D93" t="s">
        <v>144</v>
      </c>
      <c r="E93" t="s">
        <v>44</v>
      </c>
      <c r="F93" t="s">
        <v>161</v>
      </c>
      <c r="G93">
        <v>3.2320000000000002</v>
      </c>
      <c r="H93" s="13">
        <v>448.47137995049502</v>
      </c>
      <c r="I93" s="13">
        <f t="shared" si="2"/>
        <v>1449.4594999999999</v>
      </c>
      <c r="J93" s="13">
        <f t="shared" si="3"/>
        <v>1449.4594999999999</v>
      </c>
    </row>
    <row r="94" spans="1:10" x14ac:dyDescent="0.35">
      <c r="A94" s="4">
        <v>89</v>
      </c>
      <c r="B94" t="s">
        <v>136</v>
      </c>
      <c r="C94" t="s">
        <v>136</v>
      </c>
      <c r="D94" t="s">
        <v>162</v>
      </c>
      <c r="E94" t="s">
        <v>44</v>
      </c>
      <c r="F94" t="s">
        <v>163</v>
      </c>
      <c r="G94">
        <v>0.10100000000000001</v>
      </c>
      <c r="H94" s="13">
        <v>743.47609999999997</v>
      </c>
      <c r="I94" s="13">
        <f t="shared" si="2"/>
        <v>75.091086099999998</v>
      </c>
      <c r="J94" s="13">
        <f t="shared" si="3"/>
        <v>75.091086099999998</v>
      </c>
    </row>
    <row r="95" spans="1:10" x14ac:dyDescent="0.35">
      <c r="A95" s="4">
        <v>90</v>
      </c>
      <c r="B95" t="s">
        <v>136</v>
      </c>
      <c r="C95" t="s">
        <v>136</v>
      </c>
      <c r="D95" t="s">
        <v>164</v>
      </c>
      <c r="E95" t="s">
        <v>44</v>
      </c>
      <c r="F95" t="s">
        <v>165</v>
      </c>
      <c r="G95">
        <v>0.20200000000000001</v>
      </c>
      <c r="H95" s="13">
        <v>744</v>
      </c>
      <c r="I95" s="13">
        <f t="shared" si="2"/>
        <v>150.28800000000001</v>
      </c>
      <c r="J95" s="13">
        <f t="shared" si="3"/>
        <v>150.28800000000001</v>
      </c>
    </row>
    <row r="96" spans="1:10" x14ac:dyDescent="0.35">
      <c r="A96" s="4">
        <v>91</v>
      </c>
      <c r="B96" t="s">
        <v>166</v>
      </c>
      <c r="C96" t="s">
        <v>166</v>
      </c>
      <c r="D96" t="s">
        <v>17</v>
      </c>
      <c r="E96" t="s">
        <v>103</v>
      </c>
      <c r="F96" t="s">
        <v>167</v>
      </c>
      <c r="G96">
        <v>0.1</v>
      </c>
      <c r="H96" s="13">
        <v>404.68400000000003</v>
      </c>
      <c r="I96" s="13">
        <f t="shared" si="2"/>
        <v>40.468400000000003</v>
      </c>
      <c r="J96" s="13">
        <f t="shared" si="3"/>
        <v>40.468400000000003</v>
      </c>
    </row>
    <row r="97" spans="1:10" x14ac:dyDescent="0.35">
      <c r="A97" s="4">
        <v>92</v>
      </c>
      <c r="B97" t="s">
        <v>168</v>
      </c>
      <c r="C97" t="s">
        <v>168</v>
      </c>
      <c r="D97" t="s">
        <v>17</v>
      </c>
      <c r="E97" t="s">
        <v>103</v>
      </c>
      <c r="F97" t="s">
        <v>169</v>
      </c>
      <c r="G97">
        <v>0.01</v>
      </c>
      <c r="H97" s="13">
        <v>5.26</v>
      </c>
      <c r="I97" s="13">
        <f t="shared" si="2"/>
        <v>5.2600000000000001E-2</v>
      </c>
      <c r="J97" s="13">
        <f t="shared" si="3"/>
        <v>5.2600000000000001E-2</v>
      </c>
    </row>
    <row r="98" spans="1:10" x14ac:dyDescent="0.35">
      <c r="A98" s="4">
        <v>93</v>
      </c>
      <c r="B98" t="s">
        <v>168</v>
      </c>
      <c r="C98" t="s">
        <v>168</v>
      </c>
      <c r="D98" t="s">
        <v>17</v>
      </c>
      <c r="E98" t="s">
        <v>103</v>
      </c>
      <c r="F98" t="s">
        <v>170</v>
      </c>
      <c r="G98">
        <v>0.02</v>
      </c>
      <c r="H98" s="13">
        <v>2.5000000000000001E-2</v>
      </c>
      <c r="I98" s="13">
        <f t="shared" si="2"/>
        <v>5.0000000000000001E-4</v>
      </c>
      <c r="J98" s="13">
        <f t="shared" si="3"/>
        <v>5.0000000000000001E-4</v>
      </c>
    </row>
    <row r="99" spans="1:10" x14ac:dyDescent="0.35">
      <c r="A99" s="4">
        <v>94</v>
      </c>
      <c r="B99" t="s">
        <v>168</v>
      </c>
      <c r="C99" t="s">
        <v>168</v>
      </c>
      <c r="D99" t="s">
        <v>17</v>
      </c>
      <c r="E99" t="s">
        <v>34</v>
      </c>
      <c r="F99" t="s">
        <v>171</v>
      </c>
      <c r="G99">
        <v>3.3000000000000002E-2</v>
      </c>
      <c r="H99" s="13">
        <v>9.0909090909090905E-3</v>
      </c>
      <c r="I99" s="13">
        <f t="shared" si="2"/>
        <v>2.9999999999999997E-4</v>
      </c>
      <c r="J99" s="13">
        <f t="shared" si="3"/>
        <v>2.9999999999999997E-4</v>
      </c>
    </row>
    <row r="100" spans="1:10" x14ac:dyDescent="0.35">
      <c r="A100" s="4">
        <v>95</v>
      </c>
      <c r="B100" t="s">
        <v>168</v>
      </c>
      <c r="C100" t="s">
        <v>168</v>
      </c>
      <c r="D100" t="s">
        <v>17</v>
      </c>
      <c r="E100" t="s">
        <v>34</v>
      </c>
      <c r="F100" t="s">
        <v>172</v>
      </c>
      <c r="G100">
        <v>0.03</v>
      </c>
      <c r="H100" s="13">
        <v>11.198499999999999</v>
      </c>
      <c r="I100" s="13">
        <f t="shared" si="2"/>
        <v>0.33595499999999995</v>
      </c>
      <c r="J100" s="13">
        <f t="shared" si="3"/>
        <v>0.33595499999999995</v>
      </c>
    </row>
    <row r="101" spans="1:10" x14ac:dyDescent="0.35">
      <c r="A101" s="4">
        <v>96</v>
      </c>
      <c r="B101" t="s">
        <v>168</v>
      </c>
      <c r="C101" t="s">
        <v>168</v>
      </c>
      <c r="D101" t="s">
        <v>17</v>
      </c>
      <c r="E101" t="s">
        <v>103</v>
      </c>
      <c r="F101" t="s">
        <v>173</v>
      </c>
      <c r="G101">
        <v>0.01</v>
      </c>
      <c r="H101" s="13">
        <v>12.590000000000002</v>
      </c>
      <c r="I101" s="13">
        <f t="shared" si="2"/>
        <v>0.12590000000000001</v>
      </c>
      <c r="J101" s="13">
        <f t="shared" si="3"/>
        <v>0.12590000000000001</v>
      </c>
    </row>
    <row r="102" spans="1:10" x14ac:dyDescent="0.35">
      <c r="A102" s="4">
        <v>97</v>
      </c>
      <c r="B102" t="s">
        <v>168</v>
      </c>
      <c r="C102" t="s">
        <v>168</v>
      </c>
      <c r="D102" t="s">
        <v>17</v>
      </c>
      <c r="E102" t="s">
        <v>103</v>
      </c>
      <c r="F102" t="s">
        <v>174</v>
      </c>
      <c r="G102">
        <v>0.02</v>
      </c>
      <c r="H102" s="13">
        <v>11.6837</v>
      </c>
      <c r="I102" s="13">
        <f t="shared" si="2"/>
        <v>0.23367399999999999</v>
      </c>
      <c r="J102" s="13">
        <f t="shared" si="3"/>
        <v>0.23367399999999999</v>
      </c>
    </row>
    <row r="103" spans="1:10" x14ac:dyDescent="0.35">
      <c r="A103" s="4">
        <v>98</v>
      </c>
      <c r="B103" t="s">
        <v>168</v>
      </c>
      <c r="C103" t="s">
        <v>168</v>
      </c>
      <c r="D103" t="s">
        <v>17</v>
      </c>
      <c r="E103" t="s">
        <v>103</v>
      </c>
      <c r="F103" t="s">
        <v>175</v>
      </c>
      <c r="G103">
        <v>0.33</v>
      </c>
      <c r="H103" s="13">
        <v>3.5506060606060603</v>
      </c>
      <c r="I103" s="13">
        <f t="shared" si="2"/>
        <v>1.1717</v>
      </c>
      <c r="J103" s="13">
        <f t="shared" si="3"/>
        <v>1.1717</v>
      </c>
    </row>
    <row r="104" spans="1:10" x14ac:dyDescent="0.35">
      <c r="A104" s="4">
        <v>99</v>
      </c>
      <c r="B104" t="s">
        <v>168</v>
      </c>
      <c r="C104" t="s">
        <v>168</v>
      </c>
      <c r="D104" t="s">
        <v>17</v>
      </c>
      <c r="E104" t="s">
        <v>34</v>
      </c>
      <c r="F104" t="s">
        <v>176</v>
      </c>
      <c r="G104">
        <v>1.0999999999999999E-2</v>
      </c>
      <c r="H104" s="13">
        <v>2.1363636363636367</v>
      </c>
      <c r="I104" s="13">
        <f t="shared" si="2"/>
        <v>2.3500000000000004E-2</v>
      </c>
      <c r="J104" s="13">
        <f t="shared" si="3"/>
        <v>2.3500000000000004E-2</v>
      </c>
    </row>
    <row r="105" spans="1:10" x14ac:dyDescent="0.35">
      <c r="A105" s="4">
        <v>100</v>
      </c>
      <c r="B105" t="s">
        <v>168</v>
      </c>
      <c r="C105" t="s">
        <v>168</v>
      </c>
      <c r="D105" t="s">
        <v>17</v>
      </c>
      <c r="E105" t="s">
        <v>34</v>
      </c>
      <c r="F105" t="s">
        <v>177</v>
      </c>
      <c r="G105">
        <v>7.0000000000000007E-2</v>
      </c>
      <c r="H105" s="13">
        <v>72.549800000000005</v>
      </c>
      <c r="I105" s="13">
        <f t="shared" si="2"/>
        <v>5.0784860000000007</v>
      </c>
      <c r="J105" s="13">
        <f t="shared" si="3"/>
        <v>5.0784860000000007</v>
      </c>
    </row>
    <row r="106" spans="1:10" x14ac:dyDescent="0.35">
      <c r="A106" s="4">
        <v>101</v>
      </c>
      <c r="B106" t="s">
        <v>178</v>
      </c>
      <c r="C106" t="s">
        <v>178</v>
      </c>
      <c r="D106" t="s">
        <v>17</v>
      </c>
      <c r="E106" t="s">
        <v>179</v>
      </c>
      <c r="F106" t="s">
        <v>180</v>
      </c>
      <c r="G106" s="12">
        <v>9.9999999999999992E-2</v>
      </c>
      <c r="H106" s="13">
        <v>4464</v>
      </c>
      <c r="I106" s="13">
        <f t="shared" si="2"/>
        <v>446.4</v>
      </c>
      <c r="J106" s="13">
        <f t="shared" si="3"/>
        <v>446.4</v>
      </c>
    </row>
    <row r="107" spans="1:10" x14ac:dyDescent="0.35">
      <c r="A107" s="4">
        <v>102</v>
      </c>
      <c r="B107" t="s">
        <v>178</v>
      </c>
      <c r="C107" t="s">
        <v>178</v>
      </c>
      <c r="D107" t="s">
        <v>17</v>
      </c>
      <c r="E107" t="s">
        <v>179</v>
      </c>
      <c r="F107" t="s">
        <v>181</v>
      </c>
      <c r="G107" s="12">
        <v>0.5</v>
      </c>
      <c r="H107" s="13">
        <v>4464</v>
      </c>
      <c r="I107" s="13">
        <f t="shared" si="2"/>
        <v>2232</v>
      </c>
      <c r="J107" s="13">
        <f t="shared" si="3"/>
        <v>2232</v>
      </c>
    </row>
    <row r="108" spans="1:10" x14ac:dyDescent="0.35">
      <c r="A108" s="4">
        <v>103</v>
      </c>
      <c r="B108" t="s">
        <v>182</v>
      </c>
      <c r="C108" t="s">
        <v>182</v>
      </c>
      <c r="D108" t="s">
        <v>17</v>
      </c>
      <c r="E108" t="s">
        <v>44</v>
      </c>
      <c r="F108" t="s">
        <v>183</v>
      </c>
      <c r="G108">
        <v>0.84399999999999997</v>
      </c>
      <c r="H108" s="13">
        <v>1488</v>
      </c>
      <c r="I108" s="13">
        <f t="shared" si="2"/>
        <v>1255.8720000000001</v>
      </c>
      <c r="J108" s="13">
        <f t="shared" si="3"/>
        <v>1255.8720000000001</v>
      </c>
    </row>
    <row r="109" spans="1:10" x14ac:dyDescent="0.35">
      <c r="A109" s="4">
        <v>104</v>
      </c>
      <c r="B109" t="s">
        <v>182</v>
      </c>
      <c r="C109" t="s">
        <v>182</v>
      </c>
      <c r="D109" t="s">
        <v>17</v>
      </c>
      <c r="E109" t="s">
        <v>44</v>
      </c>
      <c r="F109" t="s">
        <v>184</v>
      </c>
      <c r="G109">
        <v>0.88900000000000001</v>
      </c>
      <c r="H109" s="13">
        <v>744</v>
      </c>
      <c r="I109" s="13">
        <f t="shared" si="2"/>
        <v>661.41600000000005</v>
      </c>
      <c r="J109" s="13">
        <f t="shared" si="3"/>
        <v>661.41600000000005</v>
      </c>
    </row>
    <row r="110" spans="1:10" x14ac:dyDescent="0.35">
      <c r="A110" s="4">
        <v>105</v>
      </c>
      <c r="B110" t="s">
        <v>182</v>
      </c>
      <c r="C110" t="s">
        <v>182</v>
      </c>
      <c r="D110" t="s">
        <v>17</v>
      </c>
      <c r="E110" t="s">
        <v>44</v>
      </c>
      <c r="F110" t="s">
        <v>185</v>
      </c>
      <c r="G110">
        <v>1.6879999999999999</v>
      </c>
      <c r="H110" s="13">
        <v>2976</v>
      </c>
      <c r="I110" s="13">
        <f t="shared" si="2"/>
        <v>5023.4880000000003</v>
      </c>
      <c r="J110" s="13">
        <f t="shared" si="3"/>
        <v>5023.4880000000003</v>
      </c>
    </row>
    <row r="111" spans="1:10" x14ac:dyDescent="0.35">
      <c r="A111" s="4">
        <v>106</v>
      </c>
      <c r="B111" t="s">
        <v>182</v>
      </c>
      <c r="C111" t="s">
        <v>182</v>
      </c>
      <c r="D111" t="s">
        <v>17</v>
      </c>
      <c r="E111" t="s">
        <v>44</v>
      </c>
      <c r="F111" t="s">
        <v>186</v>
      </c>
      <c r="G111">
        <v>1.778</v>
      </c>
      <c r="H111" s="13">
        <v>1488</v>
      </c>
      <c r="I111" s="13">
        <f t="shared" si="2"/>
        <v>2645.6640000000002</v>
      </c>
      <c r="J111" s="13">
        <f t="shared" si="3"/>
        <v>2645.6640000000002</v>
      </c>
    </row>
    <row r="112" spans="1:10" x14ac:dyDescent="0.35">
      <c r="A112" s="4">
        <v>107</v>
      </c>
      <c r="B112" t="s">
        <v>182</v>
      </c>
      <c r="C112" t="s">
        <v>182</v>
      </c>
      <c r="D112" t="s">
        <v>17</v>
      </c>
      <c r="E112" t="s">
        <v>103</v>
      </c>
      <c r="F112" t="s">
        <v>187</v>
      </c>
      <c r="G112">
        <v>8.5000000000000006E-2</v>
      </c>
      <c r="H112" s="13">
        <v>0.1196</v>
      </c>
      <c r="I112" s="13">
        <f t="shared" si="2"/>
        <v>1.0166000000000001E-2</v>
      </c>
      <c r="J112" s="13">
        <f t="shared" si="3"/>
        <v>1.0166000000000001E-2</v>
      </c>
    </row>
    <row r="113" spans="1:10" x14ac:dyDescent="0.35">
      <c r="A113" s="4">
        <v>108</v>
      </c>
      <c r="B113" t="s">
        <v>188</v>
      </c>
      <c r="C113" t="s">
        <v>188</v>
      </c>
      <c r="D113" t="s">
        <v>17</v>
      </c>
      <c r="E113" t="s">
        <v>189</v>
      </c>
      <c r="F113" t="s">
        <v>190</v>
      </c>
      <c r="G113" s="12">
        <v>5.0000000260753267E-7</v>
      </c>
      <c r="H113" s="13">
        <v>2684530186</v>
      </c>
      <c r="I113" s="13">
        <f t="shared" si="2"/>
        <v>1342.2651000000001</v>
      </c>
      <c r="J113" s="13">
        <f t="shared" si="3"/>
        <v>1342.2651000000001</v>
      </c>
    </row>
    <row r="114" spans="1:10" x14ac:dyDescent="0.35">
      <c r="A114" s="4">
        <v>109</v>
      </c>
      <c r="B114" t="s">
        <v>188</v>
      </c>
      <c r="C114" t="s">
        <v>188</v>
      </c>
      <c r="D114" t="s">
        <v>17</v>
      </c>
      <c r="E114" t="s">
        <v>189</v>
      </c>
      <c r="F114" t="s">
        <v>191</v>
      </c>
      <c r="G114">
        <v>9.9999999999999995E-7</v>
      </c>
      <c r="H114" s="13">
        <v>481032485</v>
      </c>
      <c r="I114" s="13">
        <f t="shared" si="2"/>
        <v>481.03248499999995</v>
      </c>
      <c r="J114" s="13">
        <f t="shared" si="3"/>
        <v>481.03248499999995</v>
      </c>
    </row>
    <row r="115" spans="1:10" x14ac:dyDescent="0.35">
      <c r="A115" s="4">
        <v>110</v>
      </c>
      <c r="B115" t="s">
        <v>188</v>
      </c>
      <c r="C115" t="s">
        <v>188</v>
      </c>
      <c r="D115" t="s">
        <v>17</v>
      </c>
      <c r="E115" t="s">
        <v>189</v>
      </c>
      <c r="F115" t="s">
        <v>192</v>
      </c>
      <c r="G115">
        <v>4.4000000000000002E-6</v>
      </c>
      <c r="H115" s="13">
        <v>36855110</v>
      </c>
      <c r="I115" s="13">
        <f t="shared" si="2"/>
        <v>162.16248400000001</v>
      </c>
      <c r="J115" s="13">
        <f t="shared" si="3"/>
        <v>162.16248400000001</v>
      </c>
    </row>
    <row r="116" spans="1:10" x14ac:dyDescent="0.35">
      <c r="A116" s="4">
        <v>111</v>
      </c>
      <c r="B116" t="s">
        <v>188</v>
      </c>
      <c r="C116" t="s">
        <v>188</v>
      </c>
      <c r="D116" t="s">
        <v>17</v>
      </c>
      <c r="E116" t="s">
        <v>189</v>
      </c>
      <c r="F116" t="s">
        <v>193</v>
      </c>
      <c r="G116">
        <v>2.7099999999999997E-4</v>
      </c>
      <c r="H116" s="13">
        <v>282011843</v>
      </c>
      <c r="I116" s="13">
        <f t="shared" si="2"/>
        <v>76425.209452999989</v>
      </c>
      <c r="J116" s="13">
        <f t="shared" si="3"/>
        <v>76425.209452999989</v>
      </c>
    </row>
    <row r="117" spans="1:10" x14ac:dyDescent="0.35">
      <c r="A117" s="4">
        <v>112</v>
      </c>
      <c r="B117" t="s">
        <v>188</v>
      </c>
      <c r="C117" t="s">
        <v>188</v>
      </c>
      <c r="D117" t="s">
        <v>17</v>
      </c>
      <c r="E117" t="s">
        <v>34</v>
      </c>
      <c r="F117" t="s">
        <v>194</v>
      </c>
      <c r="G117">
        <v>0.1125</v>
      </c>
      <c r="H117" s="13">
        <v>29593.645333333334</v>
      </c>
      <c r="I117" s="13">
        <f t="shared" si="2"/>
        <v>3329.2851000000001</v>
      </c>
      <c r="J117" s="13">
        <f t="shared" si="3"/>
        <v>3329.2851000000001</v>
      </c>
    </row>
    <row r="118" spans="1:10" x14ac:dyDescent="0.35">
      <c r="A118" s="4">
        <v>113</v>
      </c>
      <c r="B118" t="s">
        <v>188</v>
      </c>
      <c r="C118" t="s">
        <v>188</v>
      </c>
      <c r="D118" t="s">
        <v>17</v>
      </c>
      <c r="E118" t="s">
        <v>34</v>
      </c>
      <c r="F118" t="s">
        <v>195</v>
      </c>
      <c r="G118">
        <v>0.55000000000000004</v>
      </c>
      <c r="H118" s="13">
        <v>780.12379999999996</v>
      </c>
      <c r="I118" s="13">
        <f t="shared" si="2"/>
        <v>429.06809000000004</v>
      </c>
      <c r="J118" s="13">
        <f t="shared" si="3"/>
        <v>429.06809000000004</v>
      </c>
    </row>
    <row r="119" spans="1:10" x14ac:dyDescent="0.35">
      <c r="A119" s="4">
        <v>114</v>
      </c>
      <c r="B119" t="s">
        <v>188</v>
      </c>
      <c r="C119" t="s">
        <v>188</v>
      </c>
      <c r="D119" t="s">
        <v>17</v>
      </c>
      <c r="E119" t="s">
        <v>34</v>
      </c>
      <c r="F119" t="s">
        <v>196</v>
      </c>
      <c r="G119">
        <v>1.1000000000000001</v>
      </c>
      <c r="H119" s="13">
        <v>342.89827272727274</v>
      </c>
      <c r="I119" s="13">
        <f t="shared" si="2"/>
        <v>377.18810000000002</v>
      </c>
      <c r="J119" s="13">
        <f t="shared" si="3"/>
        <v>377.18810000000002</v>
      </c>
    </row>
    <row r="120" spans="1:10" x14ac:dyDescent="0.35">
      <c r="A120" s="4">
        <v>115</v>
      </c>
      <c r="B120" t="s">
        <v>197</v>
      </c>
      <c r="C120" t="s">
        <v>197</v>
      </c>
      <c r="D120" t="s">
        <v>17</v>
      </c>
      <c r="E120" t="s">
        <v>198</v>
      </c>
      <c r="F120" t="s">
        <v>199</v>
      </c>
      <c r="G120">
        <v>5.0000000000000001E-4</v>
      </c>
      <c r="H120" s="13">
        <v>20088</v>
      </c>
      <c r="I120" s="13">
        <f t="shared" si="2"/>
        <v>10.044</v>
      </c>
      <c r="J120" s="13">
        <f t="shared" si="3"/>
        <v>10.044</v>
      </c>
    </row>
    <row r="121" spans="1:10" x14ac:dyDescent="0.35">
      <c r="A121" s="4">
        <v>116</v>
      </c>
      <c r="B121" t="s">
        <v>197</v>
      </c>
      <c r="C121" t="s">
        <v>197</v>
      </c>
      <c r="D121" t="s">
        <v>17</v>
      </c>
      <c r="E121" t="s">
        <v>200</v>
      </c>
      <c r="F121" t="s">
        <v>201</v>
      </c>
      <c r="G121">
        <v>2.0999999999999999E-3</v>
      </c>
      <c r="H121" s="13">
        <v>172533.54889999999</v>
      </c>
      <c r="I121" s="13">
        <f t="shared" si="2"/>
        <v>362.32045268999997</v>
      </c>
      <c r="J121" s="13">
        <f t="shared" si="3"/>
        <v>362.32045268999997</v>
      </c>
    </row>
    <row r="122" spans="1:10" x14ac:dyDescent="0.35">
      <c r="A122" s="4">
        <v>117</v>
      </c>
      <c r="B122" t="s">
        <v>197</v>
      </c>
      <c r="C122" t="s">
        <v>197</v>
      </c>
      <c r="D122" t="s">
        <v>17</v>
      </c>
      <c r="E122" t="s">
        <v>202</v>
      </c>
      <c r="F122" t="s">
        <v>203</v>
      </c>
      <c r="G122">
        <v>0.01</v>
      </c>
      <c r="H122" s="13">
        <v>9396</v>
      </c>
      <c r="I122" s="13">
        <f t="shared" si="2"/>
        <v>93.960000000000008</v>
      </c>
      <c r="J122" s="13">
        <f t="shared" si="3"/>
        <v>93.960000000000008</v>
      </c>
    </row>
    <row r="123" spans="1:10" x14ac:dyDescent="0.35">
      <c r="A123" s="4">
        <v>118</v>
      </c>
      <c r="B123" t="s">
        <v>197</v>
      </c>
      <c r="C123" t="s">
        <v>197</v>
      </c>
      <c r="D123" t="s">
        <v>17</v>
      </c>
      <c r="E123" t="s">
        <v>202</v>
      </c>
      <c r="F123" t="s">
        <v>204</v>
      </c>
      <c r="G123">
        <v>0.11</v>
      </c>
      <c r="H123" s="13">
        <v>230</v>
      </c>
      <c r="I123" s="13">
        <f t="shared" si="2"/>
        <v>25.3</v>
      </c>
      <c r="J123" s="13">
        <f t="shared" si="3"/>
        <v>25.3</v>
      </c>
    </row>
    <row r="124" spans="1:10" x14ac:dyDescent="0.35">
      <c r="A124" s="4">
        <v>119</v>
      </c>
      <c r="B124" t="s">
        <v>205</v>
      </c>
      <c r="C124" t="s">
        <v>205</v>
      </c>
      <c r="D124" t="s">
        <v>17</v>
      </c>
      <c r="E124" t="s">
        <v>206</v>
      </c>
      <c r="F124" t="s">
        <v>207</v>
      </c>
      <c r="G124">
        <v>0.01</v>
      </c>
      <c r="H124" s="13">
        <v>9.0000000000000011E-2</v>
      </c>
      <c r="I124" s="13">
        <f t="shared" si="2"/>
        <v>9.0000000000000008E-4</v>
      </c>
      <c r="J124" s="13">
        <f t="shared" si="3"/>
        <v>9.0000000000000008E-4</v>
      </c>
    </row>
    <row r="125" spans="1:10" ht="16" x14ac:dyDescent="0.4">
      <c r="A125" s="4">
        <v>120</v>
      </c>
      <c r="B125" s="14" t="s">
        <v>208</v>
      </c>
      <c r="C125" t="s">
        <v>208</v>
      </c>
      <c r="D125" s="14" t="s">
        <v>17</v>
      </c>
      <c r="E125" s="14" t="s">
        <v>209</v>
      </c>
      <c r="F125" s="14" t="s">
        <v>210</v>
      </c>
      <c r="G125" s="14">
        <v>0.221</v>
      </c>
      <c r="H125" s="15">
        <v>1488</v>
      </c>
      <c r="I125" s="13">
        <f t="shared" si="2"/>
        <v>328.84800000000001</v>
      </c>
      <c r="J125" s="13">
        <f t="shared" si="3"/>
        <v>328.84800000000001</v>
      </c>
    </row>
    <row r="126" spans="1:10" ht="16" x14ac:dyDescent="0.4">
      <c r="A126" s="4">
        <v>121</v>
      </c>
      <c r="B126" s="14" t="s">
        <v>208</v>
      </c>
      <c r="C126" t="s">
        <v>208</v>
      </c>
      <c r="D126" s="14" t="s">
        <v>17</v>
      </c>
      <c r="E126" s="14" t="s">
        <v>209</v>
      </c>
      <c r="F126" s="14" t="s">
        <v>211</v>
      </c>
      <c r="G126" s="14">
        <v>1.768</v>
      </c>
      <c r="H126" s="15">
        <v>11904</v>
      </c>
      <c r="I126" s="13">
        <f t="shared" si="2"/>
        <v>21046.272000000001</v>
      </c>
      <c r="J126" s="13">
        <f t="shared" si="3"/>
        <v>21046.272000000001</v>
      </c>
    </row>
    <row r="127" spans="1:10" ht="16" x14ac:dyDescent="0.4">
      <c r="A127" s="4">
        <v>122</v>
      </c>
      <c r="B127" s="14" t="s">
        <v>208</v>
      </c>
      <c r="C127" t="s">
        <v>208</v>
      </c>
      <c r="D127" s="14" t="s">
        <v>17</v>
      </c>
      <c r="E127" s="14" t="s">
        <v>103</v>
      </c>
      <c r="F127" s="14" t="s">
        <v>212</v>
      </c>
      <c r="G127" s="14">
        <v>0.114</v>
      </c>
      <c r="H127" s="15">
        <v>17000</v>
      </c>
      <c r="I127" s="13">
        <f t="shared" si="2"/>
        <v>1938</v>
      </c>
      <c r="J127" s="13">
        <f t="shared" si="3"/>
        <v>1938</v>
      </c>
    </row>
    <row r="128" spans="1:10" x14ac:dyDescent="0.35">
      <c r="A128" s="4">
        <v>123</v>
      </c>
      <c r="B128" t="s">
        <v>213</v>
      </c>
      <c r="C128" t="s">
        <v>213</v>
      </c>
      <c r="D128" t="s">
        <v>17</v>
      </c>
      <c r="E128" t="s">
        <v>214</v>
      </c>
      <c r="F128" t="s">
        <v>215</v>
      </c>
      <c r="G128">
        <v>250</v>
      </c>
      <c r="H128" s="13">
        <v>1</v>
      </c>
      <c r="I128" s="13">
        <f t="shared" si="2"/>
        <v>250</v>
      </c>
      <c r="J128" s="13">
        <f t="shared" si="3"/>
        <v>250</v>
      </c>
    </row>
    <row r="129" spans="1:10" x14ac:dyDescent="0.35">
      <c r="A129" s="4">
        <v>124</v>
      </c>
      <c r="B129" t="s">
        <v>213</v>
      </c>
      <c r="C129" t="s">
        <v>213</v>
      </c>
      <c r="D129" t="s">
        <v>17</v>
      </c>
      <c r="E129" t="s">
        <v>216</v>
      </c>
      <c r="F129" t="s">
        <v>217</v>
      </c>
      <c r="G129" s="12">
        <v>24</v>
      </c>
      <c r="H129" s="13">
        <v>8</v>
      </c>
      <c r="I129" s="13">
        <f t="shared" si="2"/>
        <v>192</v>
      </c>
      <c r="J129" s="13">
        <f t="shared" si="3"/>
        <v>192</v>
      </c>
    </row>
    <row r="130" spans="1:10" x14ac:dyDescent="0.35">
      <c r="A130" s="4">
        <v>125</v>
      </c>
      <c r="B130" t="s">
        <v>218</v>
      </c>
      <c r="C130" t="s">
        <v>218</v>
      </c>
      <c r="D130" t="s">
        <v>17</v>
      </c>
      <c r="E130" t="s">
        <v>103</v>
      </c>
      <c r="F130" t="s">
        <v>219</v>
      </c>
      <c r="G130">
        <v>2.3E-2</v>
      </c>
      <c r="H130" s="13">
        <v>545.73869999999999</v>
      </c>
      <c r="I130" s="13">
        <f t="shared" si="2"/>
        <v>12.551990099999999</v>
      </c>
      <c r="J130" s="13">
        <f t="shared" si="3"/>
        <v>12.551990099999999</v>
      </c>
    </row>
    <row r="131" spans="1:10" x14ac:dyDescent="0.35">
      <c r="A131" s="4">
        <v>126</v>
      </c>
      <c r="B131" t="s">
        <v>218</v>
      </c>
      <c r="C131" t="s">
        <v>218</v>
      </c>
      <c r="D131" t="s">
        <v>17</v>
      </c>
      <c r="E131" t="s">
        <v>44</v>
      </c>
      <c r="F131" t="s">
        <v>220</v>
      </c>
      <c r="G131">
        <v>0.66</v>
      </c>
      <c r="H131" s="13">
        <v>1488</v>
      </c>
      <c r="I131" s="13">
        <f t="shared" si="2"/>
        <v>982.08</v>
      </c>
      <c r="J131" s="13">
        <f t="shared" si="3"/>
        <v>982.08</v>
      </c>
    </row>
    <row r="132" spans="1:10" x14ac:dyDescent="0.35">
      <c r="A132" s="4">
        <v>127</v>
      </c>
      <c r="B132" t="s">
        <v>218</v>
      </c>
      <c r="C132" t="s">
        <v>218</v>
      </c>
      <c r="D132" t="s">
        <v>17</v>
      </c>
      <c r="E132" t="s">
        <v>44</v>
      </c>
      <c r="F132" t="s">
        <v>221</v>
      </c>
      <c r="G132">
        <v>2.64</v>
      </c>
      <c r="H132" s="13">
        <v>1488</v>
      </c>
      <c r="I132" s="13">
        <f t="shared" si="2"/>
        <v>3928.32</v>
      </c>
      <c r="J132" s="13">
        <f t="shared" si="3"/>
        <v>3928.32</v>
      </c>
    </row>
    <row r="133" spans="1:10" x14ac:dyDescent="0.35">
      <c r="A133" s="4">
        <v>128</v>
      </c>
      <c r="B133" t="s">
        <v>218</v>
      </c>
      <c r="C133" t="s">
        <v>218</v>
      </c>
      <c r="D133" t="s">
        <v>17</v>
      </c>
      <c r="E133" t="s">
        <v>103</v>
      </c>
      <c r="F133" t="s">
        <v>222</v>
      </c>
      <c r="G133">
        <v>2.3E-2</v>
      </c>
      <c r="H133" s="13">
        <v>214811.43043478261</v>
      </c>
      <c r="I133" s="13">
        <f t="shared" si="2"/>
        <v>4940.6629000000003</v>
      </c>
      <c r="J133" s="13">
        <f t="shared" si="3"/>
        <v>4940.6629000000003</v>
      </c>
    </row>
    <row r="134" spans="1:10" x14ac:dyDescent="0.35">
      <c r="A134" s="4">
        <v>129</v>
      </c>
      <c r="B134" t="s">
        <v>218</v>
      </c>
      <c r="C134" t="s">
        <v>218</v>
      </c>
      <c r="D134" t="s">
        <v>17</v>
      </c>
      <c r="E134" t="s">
        <v>103</v>
      </c>
      <c r="F134" t="s">
        <v>223</v>
      </c>
      <c r="G134">
        <v>0.11</v>
      </c>
      <c r="H134" s="13">
        <v>39496.1224</v>
      </c>
      <c r="I134" s="13">
        <f t="shared" ref="I134:I189" si="4">G134*H134</f>
        <v>4344.5734640000001</v>
      </c>
      <c r="J134" s="13">
        <f t="shared" ref="J134:J189" si="5">I134</f>
        <v>4344.5734640000001</v>
      </c>
    </row>
    <row r="135" spans="1:10" x14ac:dyDescent="0.35">
      <c r="A135" s="4">
        <v>130</v>
      </c>
      <c r="B135" t="s">
        <v>218</v>
      </c>
      <c r="C135" t="s">
        <v>218</v>
      </c>
      <c r="D135" t="s">
        <v>17</v>
      </c>
      <c r="E135" t="s">
        <v>224</v>
      </c>
      <c r="F135" t="s">
        <v>225</v>
      </c>
      <c r="G135">
        <v>0.22</v>
      </c>
      <c r="H135" s="13">
        <v>617658.93181818177</v>
      </c>
      <c r="I135" s="13">
        <f t="shared" si="4"/>
        <v>135884.965</v>
      </c>
      <c r="J135" s="13">
        <f t="shared" si="5"/>
        <v>135884.965</v>
      </c>
    </row>
    <row r="136" spans="1:10" x14ac:dyDescent="0.35">
      <c r="A136" s="4">
        <v>131</v>
      </c>
      <c r="B136" t="s">
        <v>218</v>
      </c>
      <c r="C136" t="s">
        <v>218</v>
      </c>
      <c r="D136" t="s">
        <v>17</v>
      </c>
      <c r="E136" t="s">
        <v>103</v>
      </c>
      <c r="F136" t="s">
        <v>226</v>
      </c>
      <c r="G136">
        <v>0.248</v>
      </c>
      <c r="H136" s="13">
        <v>9139.5310000000009</v>
      </c>
      <c r="I136" s="13">
        <f t="shared" si="4"/>
        <v>2266.6036880000001</v>
      </c>
      <c r="J136" s="13">
        <f t="shared" si="5"/>
        <v>2266.6036880000001</v>
      </c>
    </row>
    <row r="137" spans="1:10" x14ac:dyDescent="0.35">
      <c r="A137" s="4">
        <v>132</v>
      </c>
      <c r="B137" t="s">
        <v>218</v>
      </c>
      <c r="C137" t="s">
        <v>218</v>
      </c>
      <c r="D137" t="s">
        <v>17</v>
      </c>
      <c r="E137" t="s">
        <v>44</v>
      </c>
      <c r="F137" t="s">
        <v>227</v>
      </c>
      <c r="G137">
        <v>0.66</v>
      </c>
      <c r="H137" s="13">
        <v>1488</v>
      </c>
      <c r="I137" s="13">
        <f t="shared" si="4"/>
        <v>982.08</v>
      </c>
      <c r="J137" s="13">
        <f t="shared" si="5"/>
        <v>982.08</v>
      </c>
    </row>
    <row r="138" spans="1:10" x14ac:dyDescent="0.35">
      <c r="A138" s="4">
        <v>133</v>
      </c>
      <c r="B138" t="s">
        <v>218</v>
      </c>
      <c r="C138" t="s">
        <v>218</v>
      </c>
      <c r="D138" t="s">
        <v>17</v>
      </c>
      <c r="E138" t="s">
        <v>44</v>
      </c>
      <c r="F138" t="s">
        <v>228</v>
      </c>
      <c r="G138">
        <v>1.32</v>
      </c>
      <c r="H138" s="13">
        <v>54312</v>
      </c>
      <c r="I138" s="13">
        <f t="shared" si="4"/>
        <v>71691.839999999997</v>
      </c>
      <c r="J138" s="13">
        <f t="shared" si="5"/>
        <v>71691.839999999997</v>
      </c>
    </row>
    <row r="139" spans="1:10" x14ac:dyDescent="0.35">
      <c r="A139" s="4">
        <v>134</v>
      </c>
      <c r="B139" t="s">
        <v>218</v>
      </c>
      <c r="C139" t="s">
        <v>218</v>
      </c>
      <c r="D139" t="s">
        <v>17</v>
      </c>
      <c r="E139" t="s">
        <v>44</v>
      </c>
      <c r="F139" t="s">
        <v>229</v>
      </c>
      <c r="G139">
        <v>1.716</v>
      </c>
      <c r="H139" s="13">
        <v>1488</v>
      </c>
      <c r="I139" s="13">
        <f t="shared" si="4"/>
        <v>2553.4079999999999</v>
      </c>
      <c r="J139" s="13">
        <f t="shared" si="5"/>
        <v>2553.4079999999999</v>
      </c>
    </row>
    <row r="140" spans="1:10" x14ac:dyDescent="0.35">
      <c r="A140" s="4">
        <v>135</v>
      </c>
      <c r="B140" t="s">
        <v>218</v>
      </c>
      <c r="C140" t="s">
        <v>218</v>
      </c>
      <c r="D140" t="s">
        <v>17</v>
      </c>
      <c r="E140" t="s">
        <v>44</v>
      </c>
      <c r="F140" t="s">
        <v>230</v>
      </c>
      <c r="G140">
        <v>10.56</v>
      </c>
      <c r="H140" s="13">
        <v>449.76830000000001</v>
      </c>
      <c r="I140" s="13">
        <f t="shared" si="4"/>
        <v>4749.5532480000002</v>
      </c>
      <c r="J140" s="13">
        <f t="shared" si="5"/>
        <v>4749.5532480000002</v>
      </c>
    </row>
    <row r="141" spans="1:10" x14ac:dyDescent="0.35">
      <c r="A141" s="4">
        <v>136</v>
      </c>
      <c r="B141" t="s">
        <v>218</v>
      </c>
      <c r="C141" t="s">
        <v>218</v>
      </c>
      <c r="D141" t="s">
        <v>17</v>
      </c>
      <c r="E141" t="s">
        <v>44</v>
      </c>
      <c r="F141" t="s">
        <v>231</v>
      </c>
      <c r="G141">
        <v>2.64</v>
      </c>
      <c r="H141" s="13">
        <v>16368</v>
      </c>
      <c r="I141" s="13">
        <f t="shared" si="4"/>
        <v>43211.520000000004</v>
      </c>
      <c r="J141" s="13">
        <f t="shared" si="5"/>
        <v>43211.520000000004</v>
      </c>
    </row>
    <row r="142" spans="1:10" x14ac:dyDescent="0.35">
      <c r="A142" s="4">
        <v>137</v>
      </c>
      <c r="B142" t="s">
        <v>218</v>
      </c>
      <c r="C142" t="s">
        <v>218</v>
      </c>
      <c r="D142" t="s">
        <v>17</v>
      </c>
      <c r="E142" t="s">
        <v>44</v>
      </c>
      <c r="F142" t="s">
        <v>232</v>
      </c>
      <c r="G142">
        <v>3.4319999999999999</v>
      </c>
      <c r="H142" s="13">
        <v>744</v>
      </c>
      <c r="I142" s="13">
        <f t="shared" si="4"/>
        <v>2553.4079999999999</v>
      </c>
      <c r="J142" s="13">
        <f t="shared" si="5"/>
        <v>2553.4079999999999</v>
      </c>
    </row>
    <row r="143" spans="1:10" x14ac:dyDescent="0.35">
      <c r="A143" s="4">
        <v>138</v>
      </c>
      <c r="B143" t="s">
        <v>218</v>
      </c>
      <c r="C143" t="s">
        <v>218</v>
      </c>
      <c r="D143" t="s">
        <v>17</v>
      </c>
      <c r="E143" t="s">
        <v>44</v>
      </c>
      <c r="F143" t="s">
        <v>233</v>
      </c>
      <c r="G143">
        <v>5.28</v>
      </c>
      <c r="H143" s="13">
        <v>7734.2313825757574</v>
      </c>
      <c r="I143" s="13">
        <f t="shared" si="4"/>
        <v>40836.741699999999</v>
      </c>
      <c r="J143" s="13">
        <f t="shared" si="5"/>
        <v>40836.741699999999</v>
      </c>
    </row>
    <row r="144" spans="1:10" x14ac:dyDescent="0.35">
      <c r="A144" s="4">
        <v>139</v>
      </c>
      <c r="B144" t="s">
        <v>218</v>
      </c>
      <c r="C144" t="s">
        <v>218</v>
      </c>
      <c r="D144" t="s">
        <v>17</v>
      </c>
      <c r="E144" t="s">
        <v>44</v>
      </c>
      <c r="F144" t="s">
        <v>234</v>
      </c>
      <c r="G144">
        <v>6.8639999999999999</v>
      </c>
      <c r="H144" s="13">
        <v>1488</v>
      </c>
      <c r="I144" s="13">
        <f t="shared" si="4"/>
        <v>10213.632</v>
      </c>
      <c r="J144" s="13">
        <f t="shared" si="5"/>
        <v>10213.632</v>
      </c>
    </row>
    <row r="145" spans="1:10" x14ac:dyDescent="0.35">
      <c r="A145" s="4">
        <v>140</v>
      </c>
      <c r="B145" t="s">
        <v>218</v>
      </c>
      <c r="C145" t="s">
        <v>218</v>
      </c>
      <c r="D145" t="s">
        <v>17</v>
      </c>
      <c r="E145" t="s">
        <v>103</v>
      </c>
      <c r="F145" t="s">
        <v>235</v>
      </c>
      <c r="G145">
        <v>0.11</v>
      </c>
      <c r="H145" s="13">
        <v>516.53430000000003</v>
      </c>
      <c r="I145" s="13">
        <f t="shared" si="4"/>
        <v>56.818773</v>
      </c>
      <c r="J145" s="13">
        <f t="shared" si="5"/>
        <v>56.818773</v>
      </c>
    </row>
    <row r="146" spans="1:10" x14ac:dyDescent="0.35">
      <c r="A146" s="4">
        <v>141</v>
      </c>
      <c r="B146" t="s">
        <v>218</v>
      </c>
      <c r="C146" t="s">
        <v>218</v>
      </c>
      <c r="D146" t="s">
        <v>17</v>
      </c>
      <c r="E146" t="s">
        <v>224</v>
      </c>
      <c r="F146" t="s">
        <v>236</v>
      </c>
      <c r="G146">
        <v>0.22</v>
      </c>
      <c r="H146" s="13">
        <v>44.061363636363637</v>
      </c>
      <c r="I146" s="13">
        <f t="shared" si="4"/>
        <v>9.6935000000000002</v>
      </c>
      <c r="J146" s="13">
        <f t="shared" si="5"/>
        <v>9.6935000000000002</v>
      </c>
    </row>
    <row r="147" spans="1:10" x14ac:dyDescent="0.35">
      <c r="A147" s="4">
        <v>142</v>
      </c>
      <c r="B147" t="s">
        <v>237</v>
      </c>
      <c r="C147" t="s">
        <v>237</v>
      </c>
      <c r="D147" t="s">
        <v>17</v>
      </c>
      <c r="E147" t="s">
        <v>103</v>
      </c>
      <c r="F147" t="s">
        <v>238</v>
      </c>
      <c r="G147" s="12">
        <v>2.6099997544076273E-2</v>
      </c>
      <c r="H147" s="13">
        <v>10847.242399999999</v>
      </c>
      <c r="I147" s="13">
        <f t="shared" si="4"/>
        <v>283.113</v>
      </c>
      <c r="J147" s="13">
        <f t="shared" si="5"/>
        <v>283.113</v>
      </c>
    </row>
    <row r="148" spans="1:10" x14ac:dyDescent="0.35">
      <c r="A148" s="4">
        <v>143</v>
      </c>
      <c r="B148" t="s">
        <v>237</v>
      </c>
      <c r="C148" t="s">
        <v>237</v>
      </c>
      <c r="D148" t="s">
        <v>17</v>
      </c>
      <c r="E148" t="s">
        <v>44</v>
      </c>
      <c r="F148" t="s">
        <v>239</v>
      </c>
      <c r="G148">
        <v>1.2350000000000001</v>
      </c>
      <c r="H148" s="13">
        <v>5947.9221862348177</v>
      </c>
      <c r="I148" s="13">
        <f t="shared" si="4"/>
        <v>7345.6839</v>
      </c>
      <c r="J148" s="13">
        <f t="shared" si="5"/>
        <v>7345.6839</v>
      </c>
    </row>
    <row r="149" spans="1:10" x14ac:dyDescent="0.35">
      <c r="A149" s="4">
        <v>144</v>
      </c>
      <c r="B149" t="s">
        <v>240</v>
      </c>
      <c r="C149" t="s">
        <v>240</v>
      </c>
      <c r="D149" t="s">
        <v>17</v>
      </c>
      <c r="E149" t="s">
        <v>83</v>
      </c>
      <c r="F149" t="s">
        <v>241</v>
      </c>
      <c r="G149">
        <v>5.0000000000000001E-3</v>
      </c>
      <c r="H149" s="13">
        <v>911437.58</v>
      </c>
      <c r="I149" s="13">
        <f t="shared" si="4"/>
        <v>4557.1878999999999</v>
      </c>
      <c r="J149" s="13">
        <f t="shared" si="5"/>
        <v>4557.1878999999999</v>
      </c>
    </row>
    <row r="150" spans="1:10" x14ac:dyDescent="0.35">
      <c r="A150" s="4">
        <v>145</v>
      </c>
      <c r="B150" t="s">
        <v>242</v>
      </c>
      <c r="C150" t="s">
        <v>242</v>
      </c>
      <c r="D150" t="s">
        <v>17</v>
      </c>
      <c r="E150" t="s">
        <v>103</v>
      </c>
      <c r="F150" t="s">
        <v>243</v>
      </c>
      <c r="G150">
        <v>2E-3</v>
      </c>
      <c r="H150" s="13">
        <v>2827.4978999999998</v>
      </c>
      <c r="I150" s="13">
        <f t="shared" si="4"/>
        <v>5.6549958</v>
      </c>
      <c r="J150" s="13">
        <f t="shared" si="5"/>
        <v>5.6549958</v>
      </c>
    </row>
    <row r="151" spans="1:10" x14ac:dyDescent="0.35">
      <c r="A151" s="4">
        <v>146</v>
      </c>
      <c r="B151" t="s">
        <v>240</v>
      </c>
      <c r="C151" t="s">
        <v>240</v>
      </c>
      <c r="D151" t="s">
        <v>17</v>
      </c>
      <c r="E151" t="s">
        <v>103</v>
      </c>
      <c r="F151" t="s">
        <v>244</v>
      </c>
      <c r="G151">
        <v>2.3E-2</v>
      </c>
      <c r="H151" s="13">
        <v>2184532.9600999998</v>
      </c>
      <c r="I151" s="13">
        <f t="shared" si="4"/>
        <v>50244.258082299995</v>
      </c>
      <c r="J151" s="13">
        <f t="shared" si="5"/>
        <v>50244.258082299995</v>
      </c>
    </row>
    <row r="152" spans="1:10" x14ac:dyDescent="0.35">
      <c r="A152" s="4">
        <v>147</v>
      </c>
      <c r="B152" t="s">
        <v>240</v>
      </c>
      <c r="C152" t="s">
        <v>240</v>
      </c>
      <c r="D152" t="s">
        <v>17</v>
      </c>
      <c r="E152" t="s">
        <v>103</v>
      </c>
      <c r="F152" t="s">
        <v>245</v>
      </c>
      <c r="G152">
        <v>2.4E-2</v>
      </c>
      <c r="H152" s="13">
        <v>404313.68333333335</v>
      </c>
      <c r="I152" s="13">
        <f t="shared" si="4"/>
        <v>9703.5284000000011</v>
      </c>
      <c r="J152" s="13">
        <f t="shared" si="5"/>
        <v>9703.5284000000011</v>
      </c>
    </row>
    <row r="153" spans="1:10" x14ac:dyDescent="0.35">
      <c r="A153" s="4">
        <v>148</v>
      </c>
      <c r="B153" t="s">
        <v>242</v>
      </c>
      <c r="C153" t="s">
        <v>242</v>
      </c>
      <c r="D153" t="s">
        <v>17</v>
      </c>
      <c r="E153" t="s">
        <v>103</v>
      </c>
      <c r="F153" t="s">
        <v>246</v>
      </c>
      <c r="G153">
        <v>2E-3</v>
      </c>
      <c r="H153" s="13">
        <v>230.07990000000001</v>
      </c>
      <c r="I153" s="13">
        <f t="shared" si="4"/>
        <v>0.46015980000000001</v>
      </c>
      <c r="J153" s="13">
        <f t="shared" si="5"/>
        <v>0.46015980000000001</v>
      </c>
    </row>
    <row r="154" spans="1:10" x14ac:dyDescent="0.35">
      <c r="A154" s="4">
        <v>149</v>
      </c>
      <c r="B154" t="s">
        <v>240</v>
      </c>
      <c r="C154" t="s">
        <v>240</v>
      </c>
      <c r="D154" t="s">
        <v>17</v>
      </c>
      <c r="E154" t="s">
        <v>103</v>
      </c>
      <c r="F154" t="s">
        <v>247</v>
      </c>
      <c r="G154">
        <v>5.0000000000000001E-3</v>
      </c>
      <c r="H154" s="13">
        <v>5.9999999999999991E-2</v>
      </c>
      <c r="I154" s="13">
        <f t="shared" si="4"/>
        <v>2.9999999999999997E-4</v>
      </c>
      <c r="J154" s="13">
        <f t="shared" si="5"/>
        <v>2.9999999999999997E-4</v>
      </c>
    </row>
    <row r="155" spans="1:10" x14ac:dyDescent="0.35">
      <c r="A155" s="4">
        <v>150</v>
      </c>
      <c r="B155" t="s">
        <v>240</v>
      </c>
      <c r="C155" t="s">
        <v>240</v>
      </c>
      <c r="D155" t="s">
        <v>17</v>
      </c>
      <c r="E155" t="s">
        <v>83</v>
      </c>
      <c r="F155" t="s">
        <v>248</v>
      </c>
      <c r="G155">
        <v>0.03</v>
      </c>
      <c r="H155" s="13">
        <v>0.03</v>
      </c>
      <c r="I155" s="13">
        <f t="shared" si="4"/>
        <v>8.9999999999999998E-4</v>
      </c>
      <c r="J155" s="13">
        <f t="shared" si="5"/>
        <v>8.9999999999999998E-4</v>
      </c>
    </row>
    <row r="156" spans="1:10" x14ac:dyDescent="0.35">
      <c r="A156" s="4">
        <v>151</v>
      </c>
      <c r="B156" t="s">
        <v>240</v>
      </c>
      <c r="C156" t="s">
        <v>240</v>
      </c>
      <c r="D156" t="s">
        <v>17</v>
      </c>
      <c r="E156" t="s">
        <v>83</v>
      </c>
      <c r="F156" t="s">
        <v>249</v>
      </c>
      <c r="G156">
        <v>0.03</v>
      </c>
      <c r="H156" s="13">
        <v>6.3333333333333339E-2</v>
      </c>
      <c r="I156" s="13">
        <f t="shared" si="4"/>
        <v>1.9E-3</v>
      </c>
      <c r="J156" s="13">
        <f t="shared" si="5"/>
        <v>1.9E-3</v>
      </c>
    </row>
    <row r="157" spans="1:10" x14ac:dyDescent="0.35">
      <c r="A157" s="4">
        <v>152</v>
      </c>
      <c r="B157" t="s">
        <v>240</v>
      </c>
      <c r="C157" t="s">
        <v>240</v>
      </c>
      <c r="D157" t="s">
        <v>17</v>
      </c>
      <c r="E157" t="s">
        <v>83</v>
      </c>
      <c r="F157" t="s">
        <v>250</v>
      </c>
      <c r="G157">
        <v>0.03</v>
      </c>
      <c r="H157" s="13">
        <v>0.03</v>
      </c>
      <c r="I157" s="13">
        <f t="shared" si="4"/>
        <v>8.9999999999999998E-4</v>
      </c>
      <c r="J157" s="13">
        <f t="shared" si="5"/>
        <v>8.9999999999999998E-4</v>
      </c>
    </row>
    <row r="158" spans="1:10" x14ac:dyDescent="0.35">
      <c r="A158" s="4">
        <v>153</v>
      </c>
      <c r="B158" t="s">
        <v>240</v>
      </c>
      <c r="C158" t="s">
        <v>240</v>
      </c>
      <c r="D158" t="s">
        <v>30</v>
      </c>
      <c r="E158" t="s">
        <v>83</v>
      </c>
      <c r="F158" t="s">
        <v>251</v>
      </c>
      <c r="G158">
        <v>4.0000000000000001E-3</v>
      </c>
      <c r="H158" s="13">
        <v>358090.59999999992</v>
      </c>
      <c r="I158" s="13">
        <f t="shared" si="4"/>
        <v>1432.3623999999998</v>
      </c>
      <c r="J158" s="13">
        <f t="shared" si="5"/>
        <v>1432.3623999999998</v>
      </c>
    </row>
    <row r="159" spans="1:10" x14ac:dyDescent="0.35">
      <c r="A159" s="4">
        <v>154</v>
      </c>
      <c r="B159" t="s">
        <v>240</v>
      </c>
      <c r="C159" t="s">
        <v>240</v>
      </c>
      <c r="D159" t="s">
        <v>17</v>
      </c>
      <c r="E159" t="s">
        <v>34</v>
      </c>
      <c r="F159" t="s">
        <v>252</v>
      </c>
      <c r="G159">
        <v>0.03</v>
      </c>
      <c r="H159" s="13">
        <v>37330.248800000001</v>
      </c>
      <c r="I159" s="13">
        <f t="shared" si="4"/>
        <v>1119.9074639999999</v>
      </c>
      <c r="J159" s="13">
        <f t="shared" si="5"/>
        <v>1119.9074639999999</v>
      </c>
    </row>
    <row r="160" spans="1:10" x14ac:dyDescent="0.35">
      <c r="A160" s="4">
        <v>155</v>
      </c>
      <c r="B160" t="s">
        <v>240</v>
      </c>
      <c r="C160" t="s">
        <v>240</v>
      </c>
      <c r="D160" t="s">
        <v>17</v>
      </c>
      <c r="E160" t="s">
        <v>83</v>
      </c>
      <c r="F160" t="s">
        <v>253</v>
      </c>
      <c r="G160">
        <v>0.1</v>
      </c>
      <c r="H160" s="13">
        <v>765.92499999999995</v>
      </c>
      <c r="I160" s="13">
        <f t="shared" si="4"/>
        <v>76.592500000000001</v>
      </c>
      <c r="J160" s="13">
        <f t="shared" si="5"/>
        <v>76.592500000000001</v>
      </c>
    </row>
    <row r="161" spans="1:10" x14ac:dyDescent="0.35">
      <c r="A161" s="4">
        <v>156</v>
      </c>
      <c r="B161" t="s">
        <v>240</v>
      </c>
      <c r="C161" t="s">
        <v>240</v>
      </c>
      <c r="D161" t="s">
        <v>17</v>
      </c>
      <c r="E161" t="s">
        <v>103</v>
      </c>
      <c r="F161" t="s">
        <v>254</v>
      </c>
      <c r="G161">
        <v>5.0000000000000001E-3</v>
      </c>
      <c r="H161" s="13">
        <v>2041681.7200000002</v>
      </c>
      <c r="I161" s="13">
        <f t="shared" si="4"/>
        <v>10208.408600000001</v>
      </c>
      <c r="J161" s="13">
        <f t="shared" si="5"/>
        <v>10208.408600000001</v>
      </c>
    </row>
    <row r="162" spans="1:10" x14ac:dyDescent="0.35">
      <c r="A162" s="4">
        <v>157</v>
      </c>
      <c r="B162" t="s">
        <v>240</v>
      </c>
      <c r="C162" t="s">
        <v>240</v>
      </c>
      <c r="D162" t="s">
        <v>30</v>
      </c>
      <c r="E162" t="s">
        <v>103</v>
      </c>
      <c r="F162" t="s">
        <v>255</v>
      </c>
      <c r="G162">
        <v>4.0000000000000001E-3</v>
      </c>
      <c r="H162" s="13">
        <v>0.1676</v>
      </c>
      <c r="I162" s="13">
        <f t="shared" si="4"/>
        <v>6.7040000000000003E-4</v>
      </c>
      <c r="J162" s="13">
        <f t="shared" si="5"/>
        <v>6.7040000000000003E-4</v>
      </c>
    </row>
    <row r="163" spans="1:10" x14ac:dyDescent="0.35">
      <c r="A163" s="4">
        <v>158</v>
      </c>
      <c r="B163" t="s">
        <v>240</v>
      </c>
      <c r="C163" t="s">
        <v>240</v>
      </c>
      <c r="D163" t="s">
        <v>17</v>
      </c>
      <c r="E163" t="s">
        <v>83</v>
      </c>
      <c r="F163" t="s">
        <v>256</v>
      </c>
      <c r="G163">
        <v>0.03</v>
      </c>
      <c r="H163" s="13">
        <v>0.06</v>
      </c>
      <c r="I163" s="13">
        <f t="shared" si="4"/>
        <v>1.8E-3</v>
      </c>
      <c r="J163" s="13">
        <f t="shared" si="5"/>
        <v>1.8E-3</v>
      </c>
    </row>
    <row r="164" spans="1:10" x14ac:dyDescent="0.35">
      <c r="A164" s="4">
        <v>159</v>
      </c>
      <c r="B164" t="s">
        <v>240</v>
      </c>
      <c r="C164" t="s">
        <v>240</v>
      </c>
      <c r="D164" t="s">
        <v>17</v>
      </c>
      <c r="E164" t="s">
        <v>83</v>
      </c>
      <c r="F164" t="s">
        <v>257</v>
      </c>
      <c r="G164">
        <v>0.03</v>
      </c>
      <c r="H164" s="13">
        <v>0.06</v>
      </c>
      <c r="I164" s="13">
        <f t="shared" si="4"/>
        <v>1.8E-3</v>
      </c>
      <c r="J164" s="13">
        <f t="shared" si="5"/>
        <v>1.8E-3</v>
      </c>
    </row>
    <row r="165" spans="1:10" x14ac:dyDescent="0.35">
      <c r="A165" s="4">
        <v>160</v>
      </c>
      <c r="B165" t="s">
        <v>240</v>
      </c>
      <c r="C165" t="s">
        <v>240</v>
      </c>
      <c r="D165" t="s">
        <v>17</v>
      </c>
      <c r="E165" t="s">
        <v>83</v>
      </c>
      <c r="F165" t="s">
        <v>258</v>
      </c>
      <c r="G165">
        <v>0.03</v>
      </c>
      <c r="H165" s="13">
        <v>0.06</v>
      </c>
      <c r="I165" s="13">
        <f t="shared" si="4"/>
        <v>1.8E-3</v>
      </c>
      <c r="J165" s="13">
        <f t="shared" si="5"/>
        <v>1.8E-3</v>
      </c>
    </row>
    <row r="166" spans="1:10" x14ac:dyDescent="0.35">
      <c r="A166" s="4">
        <v>161</v>
      </c>
      <c r="B166" t="s">
        <v>240</v>
      </c>
      <c r="C166" t="s">
        <v>240</v>
      </c>
      <c r="D166" t="s">
        <v>17</v>
      </c>
      <c r="E166" t="s">
        <v>83</v>
      </c>
      <c r="F166" t="s">
        <v>259</v>
      </c>
      <c r="G166">
        <v>5.0000000000000001E-3</v>
      </c>
      <c r="H166" s="13">
        <v>0.11999999999999998</v>
      </c>
      <c r="I166" s="13">
        <f t="shared" si="4"/>
        <v>5.9999999999999995E-4</v>
      </c>
      <c r="J166" s="13">
        <f t="shared" si="5"/>
        <v>5.9999999999999995E-4</v>
      </c>
    </row>
    <row r="167" spans="1:10" x14ac:dyDescent="0.35">
      <c r="A167" s="4">
        <v>162</v>
      </c>
      <c r="B167" t="s">
        <v>240</v>
      </c>
      <c r="C167" t="s">
        <v>240</v>
      </c>
      <c r="D167" t="s">
        <v>17</v>
      </c>
      <c r="E167" t="s">
        <v>83</v>
      </c>
      <c r="F167" t="s">
        <v>260</v>
      </c>
      <c r="G167">
        <v>0.06</v>
      </c>
      <c r="H167" s="13">
        <v>1.6666666666666668E-3</v>
      </c>
      <c r="I167" s="13">
        <f t="shared" si="4"/>
        <v>1E-4</v>
      </c>
      <c r="J167" s="13">
        <f t="shared" si="5"/>
        <v>1E-4</v>
      </c>
    </row>
    <row r="168" spans="1:10" x14ac:dyDescent="0.35">
      <c r="A168" s="4">
        <v>163</v>
      </c>
      <c r="B168" t="s">
        <v>240</v>
      </c>
      <c r="C168" t="s">
        <v>240</v>
      </c>
      <c r="D168" t="s">
        <v>30</v>
      </c>
      <c r="E168" t="s">
        <v>83</v>
      </c>
      <c r="F168" t="s">
        <v>261</v>
      </c>
      <c r="G168">
        <v>5.5E-2</v>
      </c>
      <c r="H168" s="13">
        <v>1.8181818181818182E-3</v>
      </c>
      <c r="I168" s="13">
        <f t="shared" si="4"/>
        <v>1E-4</v>
      </c>
      <c r="J168" s="13">
        <f t="shared" si="5"/>
        <v>1E-4</v>
      </c>
    </row>
    <row r="169" spans="1:10" x14ac:dyDescent="0.35">
      <c r="A169" s="4">
        <v>164</v>
      </c>
      <c r="B169" t="s">
        <v>240</v>
      </c>
      <c r="C169" t="s">
        <v>240</v>
      </c>
      <c r="D169" t="s">
        <v>17</v>
      </c>
      <c r="E169" t="s">
        <v>262</v>
      </c>
      <c r="F169" t="s">
        <v>263</v>
      </c>
      <c r="G169">
        <v>6.4999999999999997E-3</v>
      </c>
      <c r="H169" s="13">
        <v>23479.769230769234</v>
      </c>
      <c r="I169" s="13">
        <f t="shared" si="4"/>
        <v>152.61850000000001</v>
      </c>
      <c r="J169" s="13">
        <f t="shared" si="5"/>
        <v>152.61850000000001</v>
      </c>
    </row>
    <row r="170" spans="1:10" x14ac:dyDescent="0.35">
      <c r="A170" s="4">
        <v>165</v>
      </c>
      <c r="B170" t="s">
        <v>240</v>
      </c>
      <c r="C170" t="s">
        <v>240</v>
      </c>
      <c r="D170" t="s">
        <v>17</v>
      </c>
      <c r="E170" t="s">
        <v>83</v>
      </c>
      <c r="F170" t="s">
        <v>264</v>
      </c>
      <c r="G170">
        <v>7.0000000000000007E-2</v>
      </c>
      <c r="H170" s="13">
        <v>2264.258571428571</v>
      </c>
      <c r="I170" s="13">
        <f t="shared" si="4"/>
        <v>158.49809999999999</v>
      </c>
      <c r="J170" s="13">
        <f t="shared" si="5"/>
        <v>158.49809999999999</v>
      </c>
    </row>
    <row r="171" spans="1:10" x14ac:dyDescent="0.35">
      <c r="A171" s="4">
        <v>166</v>
      </c>
      <c r="B171" t="s">
        <v>240</v>
      </c>
      <c r="C171" t="s">
        <v>240</v>
      </c>
      <c r="D171" t="s">
        <v>17</v>
      </c>
      <c r="E171" t="s">
        <v>83</v>
      </c>
      <c r="F171" t="s">
        <v>265</v>
      </c>
      <c r="G171">
        <v>0.02</v>
      </c>
      <c r="H171" s="13">
        <v>276.79000000000002</v>
      </c>
      <c r="I171" s="13">
        <f t="shared" si="4"/>
        <v>5.5358000000000009</v>
      </c>
      <c r="J171" s="13">
        <f t="shared" si="5"/>
        <v>5.5358000000000009</v>
      </c>
    </row>
    <row r="172" spans="1:10" x14ac:dyDescent="0.35">
      <c r="A172" s="4">
        <v>167</v>
      </c>
      <c r="B172" t="s">
        <v>240</v>
      </c>
      <c r="C172" t="s">
        <v>240</v>
      </c>
      <c r="D172" t="s">
        <v>17</v>
      </c>
      <c r="E172" t="s">
        <v>103</v>
      </c>
      <c r="F172" t="s">
        <v>266</v>
      </c>
      <c r="G172">
        <v>2.5000000000000001E-2</v>
      </c>
      <c r="H172" s="13">
        <v>48808.243699999999</v>
      </c>
      <c r="I172" s="13">
        <f t="shared" si="4"/>
        <v>1220.2060925000001</v>
      </c>
      <c r="J172" s="13">
        <f t="shared" si="5"/>
        <v>1220.2060925000001</v>
      </c>
    </row>
    <row r="173" spans="1:10" x14ac:dyDescent="0.35">
      <c r="A173" s="4">
        <v>168</v>
      </c>
      <c r="B173" t="s">
        <v>240</v>
      </c>
      <c r="C173" t="s">
        <v>240</v>
      </c>
      <c r="D173" t="s">
        <v>30</v>
      </c>
      <c r="E173" t="s">
        <v>103</v>
      </c>
      <c r="F173" t="s">
        <v>267</v>
      </c>
      <c r="G173">
        <v>2.3E-2</v>
      </c>
      <c r="H173" s="13">
        <v>0.1027</v>
      </c>
      <c r="I173" s="13">
        <v>0.01</v>
      </c>
      <c r="J173" s="13">
        <f t="shared" si="5"/>
        <v>0.01</v>
      </c>
    </row>
    <row r="174" spans="1:10" x14ac:dyDescent="0.35">
      <c r="A174" s="4">
        <v>169</v>
      </c>
      <c r="B174" t="s">
        <v>240</v>
      </c>
      <c r="C174" t="s">
        <v>240</v>
      </c>
      <c r="D174" t="s">
        <v>17</v>
      </c>
      <c r="E174" t="s">
        <v>268</v>
      </c>
      <c r="F174" t="s">
        <v>269</v>
      </c>
      <c r="G174">
        <v>0.2</v>
      </c>
      <c r="H174" s="13">
        <v>11780.371500000001</v>
      </c>
      <c r="I174" s="13">
        <f t="shared" si="4"/>
        <v>2356.0743000000002</v>
      </c>
      <c r="J174" s="13">
        <f t="shared" si="5"/>
        <v>2356.0743000000002</v>
      </c>
    </row>
    <row r="175" spans="1:10" x14ac:dyDescent="0.35">
      <c r="A175" s="4">
        <v>170</v>
      </c>
      <c r="B175" t="s">
        <v>270</v>
      </c>
      <c r="C175" t="s">
        <v>270</v>
      </c>
      <c r="D175" t="s">
        <v>17</v>
      </c>
      <c r="E175" t="s">
        <v>83</v>
      </c>
      <c r="F175" t="s">
        <v>271</v>
      </c>
      <c r="G175">
        <v>0.5</v>
      </c>
      <c r="H175" s="13">
        <v>0.13159999999999999</v>
      </c>
      <c r="I175" s="13">
        <f t="shared" si="4"/>
        <v>6.5799999999999997E-2</v>
      </c>
      <c r="J175" s="13">
        <f t="shared" si="5"/>
        <v>6.5799999999999997E-2</v>
      </c>
    </row>
    <row r="176" spans="1:10" x14ac:dyDescent="0.35">
      <c r="A176" s="4">
        <v>171</v>
      </c>
      <c r="B176" t="s">
        <v>270</v>
      </c>
      <c r="C176" t="s">
        <v>270</v>
      </c>
      <c r="D176" t="s">
        <v>17</v>
      </c>
      <c r="E176" t="s">
        <v>272</v>
      </c>
      <c r="F176" t="s">
        <v>273</v>
      </c>
      <c r="G176">
        <v>2</v>
      </c>
      <c r="H176" s="13">
        <v>1.79295</v>
      </c>
      <c r="I176" s="13">
        <f t="shared" si="4"/>
        <v>3.5859000000000001</v>
      </c>
      <c r="J176" s="13">
        <f t="shared" si="5"/>
        <v>3.5859000000000001</v>
      </c>
    </row>
    <row r="177" spans="1:10" x14ac:dyDescent="0.35">
      <c r="A177" s="4">
        <v>172</v>
      </c>
      <c r="B177" t="s">
        <v>274</v>
      </c>
      <c r="C177" t="s">
        <v>274</v>
      </c>
      <c r="D177" t="s">
        <v>17</v>
      </c>
      <c r="E177" t="s">
        <v>103</v>
      </c>
      <c r="F177" t="s">
        <v>275</v>
      </c>
      <c r="G177">
        <v>0.16</v>
      </c>
      <c r="H177" s="13">
        <v>4.9993750000000006</v>
      </c>
      <c r="I177" s="13">
        <f t="shared" si="4"/>
        <v>0.79990000000000006</v>
      </c>
      <c r="J177" s="13">
        <f t="shared" si="5"/>
        <v>0.79990000000000006</v>
      </c>
    </row>
    <row r="178" spans="1:10" x14ac:dyDescent="0.35">
      <c r="A178" s="4">
        <v>173</v>
      </c>
      <c r="B178" t="s">
        <v>274</v>
      </c>
      <c r="C178" t="s">
        <v>274</v>
      </c>
      <c r="D178" t="s">
        <v>17</v>
      </c>
      <c r="E178" t="s">
        <v>103</v>
      </c>
      <c r="F178" t="s">
        <v>276</v>
      </c>
      <c r="G178">
        <v>0.12767999999999999</v>
      </c>
      <c r="H178" s="13">
        <v>210</v>
      </c>
      <c r="I178" s="13">
        <f t="shared" si="4"/>
        <v>26.812799999999996</v>
      </c>
      <c r="J178" s="13">
        <f t="shared" si="5"/>
        <v>26.812799999999996</v>
      </c>
    </row>
    <row r="179" spans="1:10" x14ac:dyDescent="0.35">
      <c r="A179" s="4">
        <v>174</v>
      </c>
      <c r="B179" t="s">
        <v>274</v>
      </c>
      <c r="C179" t="s">
        <v>274</v>
      </c>
      <c r="D179" t="s">
        <v>17</v>
      </c>
      <c r="E179" t="s">
        <v>44</v>
      </c>
      <c r="F179" t="s">
        <v>277</v>
      </c>
      <c r="G179">
        <v>5.3999999999999999E-2</v>
      </c>
      <c r="H179" s="13">
        <v>743.90710000000001</v>
      </c>
      <c r="I179" s="13">
        <f t="shared" si="4"/>
        <v>40.170983399999997</v>
      </c>
      <c r="J179" s="13">
        <f t="shared" si="5"/>
        <v>40.170983399999997</v>
      </c>
    </row>
    <row r="180" spans="1:10" x14ac:dyDescent="0.35">
      <c r="A180" s="4">
        <v>175</v>
      </c>
      <c r="B180" t="s">
        <v>274</v>
      </c>
      <c r="C180" t="s">
        <v>274</v>
      </c>
      <c r="D180" t="s">
        <v>17</v>
      </c>
      <c r="E180" t="s">
        <v>44</v>
      </c>
      <c r="F180" t="s">
        <v>278</v>
      </c>
      <c r="G180">
        <v>1.9</v>
      </c>
      <c r="H180" s="13">
        <v>744</v>
      </c>
      <c r="I180" s="13">
        <f t="shared" si="4"/>
        <v>1413.6</v>
      </c>
      <c r="J180" s="13">
        <f t="shared" si="5"/>
        <v>1413.6</v>
      </c>
    </row>
    <row r="181" spans="1:10" x14ac:dyDescent="0.35">
      <c r="A181" s="4">
        <v>176</v>
      </c>
      <c r="B181" t="s">
        <v>279</v>
      </c>
      <c r="C181" t="s">
        <v>279</v>
      </c>
      <c r="D181" t="s">
        <v>17</v>
      </c>
      <c r="E181" t="s">
        <v>280</v>
      </c>
      <c r="F181" t="s">
        <v>281</v>
      </c>
      <c r="G181">
        <v>0.6</v>
      </c>
      <c r="H181" s="13">
        <v>5.492</v>
      </c>
      <c r="I181" s="13">
        <f t="shared" si="4"/>
        <v>3.2951999999999999</v>
      </c>
      <c r="J181" s="13">
        <f t="shared" si="5"/>
        <v>3.2951999999999999</v>
      </c>
    </row>
    <row r="182" spans="1:10" x14ac:dyDescent="0.35">
      <c r="A182" s="4">
        <v>177</v>
      </c>
      <c r="B182" t="s">
        <v>279</v>
      </c>
      <c r="C182" t="s">
        <v>279</v>
      </c>
      <c r="D182" t="s">
        <v>17</v>
      </c>
      <c r="E182" t="s">
        <v>280</v>
      </c>
      <c r="F182" t="s">
        <v>282</v>
      </c>
      <c r="G182">
        <v>1.5</v>
      </c>
      <c r="H182" s="13">
        <v>0.64300000000000002</v>
      </c>
      <c r="I182" s="13">
        <f t="shared" si="4"/>
        <v>0.96450000000000002</v>
      </c>
      <c r="J182" s="13">
        <f t="shared" si="5"/>
        <v>0.96450000000000002</v>
      </c>
    </row>
    <row r="183" spans="1:10" x14ac:dyDescent="0.35">
      <c r="A183" s="4">
        <v>178</v>
      </c>
      <c r="B183" t="s">
        <v>283</v>
      </c>
      <c r="C183" t="s">
        <v>283</v>
      </c>
      <c r="D183" t="s">
        <v>17</v>
      </c>
      <c r="E183" t="s">
        <v>284</v>
      </c>
      <c r="F183" t="s">
        <v>285</v>
      </c>
      <c r="G183">
        <v>0.02</v>
      </c>
      <c r="H183" s="13">
        <v>375725.86820000003</v>
      </c>
      <c r="I183" s="13">
        <f t="shared" si="4"/>
        <v>7514.5173640000003</v>
      </c>
      <c r="J183" s="13">
        <f t="shared" si="5"/>
        <v>7514.5173640000003</v>
      </c>
    </row>
    <row r="184" spans="1:10" x14ac:dyDescent="0.35">
      <c r="A184" s="4">
        <v>179</v>
      </c>
      <c r="B184" t="s">
        <v>283</v>
      </c>
      <c r="C184" t="s">
        <v>283</v>
      </c>
      <c r="D184" t="s">
        <v>17</v>
      </c>
      <c r="E184" t="s">
        <v>286</v>
      </c>
      <c r="F184" t="s">
        <v>287</v>
      </c>
      <c r="G184">
        <v>7.0000000000000007E-2</v>
      </c>
      <c r="H184" s="13">
        <v>744</v>
      </c>
      <c r="I184" s="13">
        <f t="shared" si="4"/>
        <v>52.080000000000005</v>
      </c>
      <c r="J184" s="13">
        <f t="shared" si="5"/>
        <v>52.080000000000005</v>
      </c>
    </row>
    <row r="185" spans="1:10" x14ac:dyDescent="0.35">
      <c r="A185" s="4">
        <v>180</v>
      </c>
      <c r="B185" t="s">
        <v>283</v>
      </c>
      <c r="C185" t="s">
        <v>283</v>
      </c>
      <c r="D185" t="s">
        <v>17</v>
      </c>
      <c r="E185" t="s">
        <v>44</v>
      </c>
      <c r="F185" t="s">
        <v>288</v>
      </c>
      <c r="G185">
        <v>1.2999999999999999E-2</v>
      </c>
      <c r="H185" s="13">
        <v>4464</v>
      </c>
      <c r="I185" s="13">
        <f t="shared" si="4"/>
        <v>58.031999999999996</v>
      </c>
      <c r="J185" s="13">
        <f t="shared" si="5"/>
        <v>58.031999999999996</v>
      </c>
    </row>
    <row r="186" spans="1:10" x14ac:dyDescent="0.35">
      <c r="A186" s="4">
        <v>181</v>
      </c>
      <c r="B186" t="s">
        <v>289</v>
      </c>
      <c r="C186" t="s">
        <v>289</v>
      </c>
      <c r="D186" t="s">
        <v>17</v>
      </c>
      <c r="E186" t="s">
        <v>290</v>
      </c>
      <c r="F186" t="s">
        <v>291</v>
      </c>
      <c r="G186">
        <v>1</v>
      </c>
      <c r="H186" s="13">
        <v>10.940899999999999</v>
      </c>
      <c r="I186" s="13">
        <f t="shared" si="4"/>
        <v>10.940899999999999</v>
      </c>
      <c r="J186" s="13">
        <f t="shared" si="5"/>
        <v>10.940899999999999</v>
      </c>
    </row>
    <row r="187" spans="1:10" x14ac:dyDescent="0.35">
      <c r="A187" s="4">
        <v>182</v>
      </c>
      <c r="B187" t="s">
        <v>289</v>
      </c>
      <c r="C187" t="s">
        <v>289</v>
      </c>
      <c r="D187" t="s">
        <v>17</v>
      </c>
      <c r="E187" t="s">
        <v>83</v>
      </c>
      <c r="F187" t="s">
        <v>292</v>
      </c>
      <c r="G187">
        <v>0.03</v>
      </c>
      <c r="H187" s="13">
        <v>10009.993333333334</v>
      </c>
      <c r="I187" s="13">
        <f t="shared" si="4"/>
        <v>300.2998</v>
      </c>
      <c r="J187" s="13">
        <f t="shared" si="5"/>
        <v>300.2998</v>
      </c>
    </row>
    <row r="188" spans="1:10" x14ac:dyDescent="0.35">
      <c r="A188" s="4">
        <v>183</v>
      </c>
      <c r="B188" t="s">
        <v>289</v>
      </c>
      <c r="C188" t="s">
        <v>289</v>
      </c>
      <c r="D188" t="s">
        <v>293</v>
      </c>
      <c r="E188" t="s">
        <v>83</v>
      </c>
      <c r="F188" t="s">
        <v>294</v>
      </c>
      <c r="G188">
        <v>0.03</v>
      </c>
      <c r="H188" s="13">
        <v>2.3333333333333338E-2</v>
      </c>
      <c r="I188" s="13">
        <f t="shared" si="4"/>
        <v>7.000000000000001E-4</v>
      </c>
      <c r="J188" s="13">
        <f t="shared" si="5"/>
        <v>7.000000000000001E-4</v>
      </c>
    </row>
    <row r="189" spans="1:10" x14ac:dyDescent="0.35">
      <c r="A189" s="4">
        <v>184</v>
      </c>
      <c r="B189" t="s">
        <v>295</v>
      </c>
      <c r="C189" t="s">
        <v>295</v>
      </c>
      <c r="D189" t="s">
        <v>17</v>
      </c>
      <c r="E189" t="s">
        <v>31</v>
      </c>
      <c r="F189" t="s">
        <v>296</v>
      </c>
      <c r="G189">
        <v>0.6</v>
      </c>
      <c r="H189" s="13">
        <v>425.74</v>
      </c>
      <c r="I189" s="13">
        <f t="shared" si="4"/>
        <v>255.44399999999999</v>
      </c>
      <c r="J189" s="13">
        <f t="shared" si="5"/>
        <v>255.44399999999999</v>
      </c>
    </row>
    <row r="190" spans="1:10" x14ac:dyDescent="0.35">
      <c r="B190" s="16" t="s">
        <v>297</v>
      </c>
      <c r="C190" s="16"/>
      <c r="D190" s="16"/>
      <c r="E190" s="16"/>
      <c r="F190" s="16"/>
      <c r="G190" s="16"/>
      <c r="H190" s="16"/>
      <c r="I190" s="17">
        <f>SUM(I6:I189)</f>
        <v>861830.62008190958</v>
      </c>
      <c r="J190" s="17">
        <f>SUM(J6:J189)</f>
        <v>861830.62008190958</v>
      </c>
    </row>
    <row r="191" spans="1:10" x14ac:dyDescent="0.35">
      <c r="F191"/>
      <c r="G191"/>
      <c r="H191"/>
    </row>
    <row r="192" spans="1:10" x14ac:dyDescent="0.35">
      <c r="F192"/>
      <c r="G192"/>
      <c r="H192"/>
    </row>
    <row r="193" spans="6:8" x14ac:dyDescent="0.35">
      <c r="F193"/>
      <c r="G193"/>
      <c r="H193"/>
    </row>
    <row r="194" spans="6:8" x14ac:dyDescent="0.35">
      <c r="F194" t="s">
        <v>298</v>
      </c>
      <c r="G194" t="s">
        <v>299</v>
      </c>
      <c r="H194"/>
    </row>
    <row r="195" spans="6:8" x14ac:dyDescent="0.35">
      <c r="F195" s="20" t="s">
        <v>89</v>
      </c>
      <c r="G195" s="21">
        <v>36863.528948620013</v>
      </c>
      <c r="H195"/>
    </row>
    <row r="196" spans="6:8" x14ac:dyDescent="0.35">
      <c r="F196" s="20" t="s">
        <v>82</v>
      </c>
      <c r="G196" s="21">
        <v>1419.2731000000001</v>
      </c>
      <c r="H196"/>
    </row>
    <row r="197" spans="6:8" x14ac:dyDescent="0.35">
      <c r="F197" s="20" t="s">
        <v>86</v>
      </c>
      <c r="G197" s="21">
        <v>3058.3085999999998</v>
      </c>
      <c r="H197"/>
    </row>
    <row r="198" spans="6:8" x14ac:dyDescent="0.35">
      <c r="F198" s="20" t="s">
        <v>21</v>
      </c>
      <c r="G198" s="21">
        <v>1.5116969999999998</v>
      </c>
      <c r="H198"/>
    </row>
    <row r="199" spans="6:8" x14ac:dyDescent="0.35">
      <c r="F199" s="20" t="s">
        <v>16</v>
      </c>
      <c r="G199" s="21">
        <v>8.5091999999999999</v>
      </c>
      <c r="H199"/>
    </row>
    <row r="200" spans="6:8" x14ac:dyDescent="0.35">
      <c r="F200" s="20" t="s">
        <v>49</v>
      </c>
      <c r="G200" s="21">
        <v>290.47289999999998</v>
      </c>
      <c r="H200"/>
    </row>
    <row r="201" spans="6:8" x14ac:dyDescent="0.35">
      <c r="F201" s="20" t="s">
        <v>124</v>
      </c>
      <c r="G201" s="21">
        <v>63037.142624999993</v>
      </c>
      <c r="H201"/>
    </row>
    <row r="202" spans="6:8" x14ac:dyDescent="0.35">
      <c r="F202" s="20" t="s">
        <v>24</v>
      </c>
      <c r="G202" s="21">
        <v>1026.9860000000001</v>
      </c>
      <c r="H202"/>
    </row>
    <row r="203" spans="6:8" x14ac:dyDescent="0.35">
      <c r="F203" s="20" t="s">
        <v>29</v>
      </c>
      <c r="G203" s="21">
        <v>0.16</v>
      </c>
      <c r="H203"/>
    </row>
    <row r="204" spans="6:8" x14ac:dyDescent="0.35">
      <c r="F204" s="20" t="s">
        <v>33</v>
      </c>
      <c r="G204" s="21">
        <v>17966.922714</v>
      </c>
      <c r="H204"/>
    </row>
    <row r="205" spans="6:8" x14ac:dyDescent="0.35">
      <c r="F205" s="20" t="s">
        <v>133</v>
      </c>
      <c r="G205" s="21">
        <v>6.2496</v>
      </c>
      <c r="H205"/>
    </row>
    <row r="206" spans="6:8" x14ac:dyDescent="0.35">
      <c r="F206" s="20" t="s">
        <v>166</v>
      </c>
      <c r="G206" s="21">
        <v>40.468400000000003</v>
      </c>
      <c r="H206"/>
    </row>
    <row r="207" spans="6:8" x14ac:dyDescent="0.35">
      <c r="F207" s="20" t="s">
        <v>136</v>
      </c>
      <c r="G207" s="21">
        <v>187839.5075409</v>
      </c>
      <c r="H207"/>
    </row>
    <row r="208" spans="6:8" x14ac:dyDescent="0.35">
      <c r="F208" s="20" t="s">
        <v>178</v>
      </c>
      <c r="G208" s="21">
        <v>2678.4</v>
      </c>
      <c r="H208"/>
    </row>
    <row r="209" spans="6:8" x14ac:dyDescent="0.35">
      <c r="F209" s="20" t="s">
        <v>168</v>
      </c>
      <c r="G209" s="21">
        <v>7.0226150000000009</v>
      </c>
      <c r="H209"/>
    </row>
    <row r="210" spans="6:8" x14ac:dyDescent="0.35">
      <c r="F210" s="20" t="s">
        <v>43</v>
      </c>
      <c r="G210" s="21">
        <v>3003.5538833999999</v>
      </c>
      <c r="H210"/>
    </row>
    <row r="211" spans="6:8" x14ac:dyDescent="0.35">
      <c r="F211" s="20" t="s">
        <v>182</v>
      </c>
      <c r="G211" s="21">
        <v>9586.4501660000005</v>
      </c>
      <c r="H211"/>
    </row>
    <row r="212" spans="6:8" x14ac:dyDescent="0.35">
      <c r="F212" s="20" t="s">
        <v>54</v>
      </c>
      <c r="G212" s="21">
        <v>1.1485519999999998</v>
      </c>
      <c r="H212"/>
    </row>
    <row r="213" spans="6:8" x14ac:dyDescent="0.35">
      <c r="F213" s="20" t="s">
        <v>188</v>
      </c>
      <c r="G213" s="21">
        <v>82546.210811999976</v>
      </c>
      <c r="H213"/>
    </row>
    <row r="214" spans="6:8" x14ac:dyDescent="0.35">
      <c r="F214" s="20" t="s">
        <v>197</v>
      </c>
      <c r="G214" s="21">
        <v>491.62445268999994</v>
      </c>
      <c r="H214"/>
    </row>
    <row r="215" spans="6:8" x14ac:dyDescent="0.35">
      <c r="F215" s="20" t="s">
        <v>289</v>
      </c>
      <c r="G215" s="21">
        <v>311.2414</v>
      </c>
      <c r="H215"/>
    </row>
    <row r="216" spans="6:8" x14ac:dyDescent="0.35">
      <c r="F216" s="20" t="s">
        <v>61</v>
      </c>
      <c r="G216" s="21">
        <v>29.913399999999999</v>
      </c>
      <c r="H216"/>
    </row>
    <row r="217" spans="6:8" x14ac:dyDescent="0.35">
      <c r="F217" s="20" t="s">
        <v>205</v>
      </c>
      <c r="G217" s="21">
        <v>9.0000000000000008E-4</v>
      </c>
      <c r="H217"/>
    </row>
    <row r="218" spans="6:8" x14ac:dyDescent="0.35">
      <c r="F218" s="20" t="s">
        <v>208</v>
      </c>
      <c r="G218" s="21">
        <v>23313.120000000003</v>
      </c>
      <c r="H218"/>
    </row>
    <row r="219" spans="6:8" x14ac:dyDescent="0.35">
      <c r="F219" s="20" t="s">
        <v>213</v>
      </c>
      <c r="G219" s="21">
        <v>442</v>
      </c>
      <c r="H219"/>
    </row>
    <row r="220" spans="6:8" x14ac:dyDescent="0.35">
      <c r="F220" s="20" t="s">
        <v>237</v>
      </c>
      <c r="G220" s="21">
        <v>7628.7969000000003</v>
      </c>
      <c r="H220"/>
    </row>
    <row r="221" spans="6:8" x14ac:dyDescent="0.35">
      <c r="F221" s="20" t="s">
        <v>218</v>
      </c>
      <c r="G221" s="21">
        <v>329218.45226309996</v>
      </c>
      <c r="H221"/>
    </row>
    <row r="222" spans="6:8" x14ac:dyDescent="0.35">
      <c r="F222" s="20" t="s">
        <v>242</v>
      </c>
      <c r="G222" s="21">
        <v>6.1151555999999996</v>
      </c>
      <c r="H222"/>
    </row>
    <row r="223" spans="6:8" x14ac:dyDescent="0.35">
      <c r="F223" s="20" t="s">
        <v>274</v>
      </c>
      <c r="G223" s="21">
        <v>1481.3836833999999</v>
      </c>
      <c r="H223"/>
    </row>
    <row r="224" spans="6:8" x14ac:dyDescent="0.35">
      <c r="F224" s="20" t="s">
        <v>67</v>
      </c>
      <c r="G224" s="21">
        <v>36.675300000000007</v>
      </c>
      <c r="H224"/>
    </row>
    <row r="225" spans="6:8" x14ac:dyDescent="0.35">
      <c r="F225" s="20" t="s">
        <v>72</v>
      </c>
      <c r="G225" s="21">
        <v>366.27449999999999</v>
      </c>
      <c r="H225"/>
    </row>
    <row r="226" spans="6:8" x14ac:dyDescent="0.35">
      <c r="F226" s="20" t="s">
        <v>270</v>
      </c>
      <c r="G226" s="21">
        <v>3.6516999999999999</v>
      </c>
      <c r="H226"/>
    </row>
    <row r="227" spans="6:8" x14ac:dyDescent="0.35">
      <c r="F227" s="20" t="s">
        <v>240</v>
      </c>
      <c r="G227" s="21">
        <v>81235.199009199976</v>
      </c>
      <c r="H227"/>
    </row>
    <row r="228" spans="6:8" x14ac:dyDescent="0.35">
      <c r="F228" s="20" t="s">
        <v>279</v>
      </c>
      <c r="G228" s="21">
        <v>4.2596999999999996</v>
      </c>
      <c r="H228"/>
    </row>
    <row r="229" spans="6:8" x14ac:dyDescent="0.35">
      <c r="F229" s="20" t="s">
        <v>283</v>
      </c>
      <c r="G229" s="21">
        <v>7624.6293640000004</v>
      </c>
      <c r="H229"/>
    </row>
    <row r="230" spans="6:8" x14ac:dyDescent="0.35">
      <c r="F230" s="20" t="s">
        <v>295</v>
      </c>
      <c r="G230" s="21">
        <v>255.44399999999999</v>
      </c>
      <c r="H230"/>
    </row>
    <row r="231" spans="6:8" x14ac:dyDescent="0.35">
      <c r="F231" s="20" t="s">
        <v>79</v>
      </c>
      <c r="G231" s="21">
        <v>1.0999999999999999E-2</v>
      </c>
      <c r="H231"/>
    </row>
    <row r="232" spans="6:8" x14ac:dyDescent="0.35">
      <c r="F232" s="20" t="s">
        <v>300</v>
      </c>
      <c r="G232" s="21">
        <v>861830.62008191028</v>
      </c>
      <c r="H232"/>
    </row>
    <row r="233" spans="6:8" x14ac:dyDescent="0.35">
      <c r="F233"/>
      <c r="G233"/>
      <c r="H233"/>
    </row>
    <row r="234" spans="6:8" x14ac:dyDescent="0.35">
      <c r="F234"/>
      <c r="G234"/>
      <c r="H234"/>
    </row>
    <row r="235" spans="6:8" x14ac:dyDescent="0.35">
      <c r="F235"/>
      <c r="G235"/>
      <c r="H235"/>
    </row>
    <row r="236" spans="6:8" x14ac:dyDescent="0.35">
      <c r="F236"/>
      <c r="G236"/>
      <c r="H236"/>
    </row>
    <row r="237" spans="6:8" x14ac:dyDescent="0.35">
      <c r="F237"/>
      <c r="G237"/>
      <c r="H237"/>
    </row>
    <row r="238" spans="6:8" x14ac:dyDescent="0.35">
      <c r="F238"/>
      <c r="G238"/>
      <c r="H238"/>
    </row>
    <row r="239" spans="6:8" x14ac:dyDescent="0.35">
      <c r="F239"/>
      <c r="G239"/>
      <c r="H239"/>
    </row>
    <row r="240" spans="6:8" x14ac:dyDescent="0.35">
      <c r="F240"/>
      <c r="G240"/>
      <c r="H240"/>
    </row>
    <row r="241" spans="6:8" x14ac:dyDescent="0.35">
      <c r="F241"/>
      <c r="G241"/>
      <c r="H241"/>
    </row>
    <row r="242" spans="6:8" x14ac:dyDescent="0.35">
      <c r="F242"/>
      <c r="G242"/>
      <c r="H242"/>
    </row>
    <row r="243" spans="6:8" x14ac:dyDescent="0.35">
      <c r="F243"/>
      <c r="G243"/>
      <c r="H243"/>
    </row>
    <row r="244" spans="6:8" x14ac:dyDescent="0.35">
      <c r="F244"/>
      <c r="G244"/>
      <c r="H244"/>
    </row>
    <row r="245" spans="6:8" x14ac:dyDescent="0.35">
      <c r="F245"/>
      <c r="G245"/>
      <c r="H245"/>
    </row>
    <row r="246" spans="6:8" x14ac:dyDescent="0.35">
      <c r="F246"/>
      <c r="G246"/>
      <c r="H246"/>
    </row>
    <row r="247" spans="6:8" x14ac:dyDescent="0.35">
      <c r="F247"/>
      <c r="G247"/>
      <c r="H247"/>
    </row>
    <row r="248" spans="6:8" x14ac:dyDescent="0.35">
      <c r="F248"/>
      <c r="G248"/>
      <c r="H248"/>
    </row>
    <row r="249" spans="6:8" x14ac:dyDescent="0.35">
      <c r="F249"/>
      <c r="G249"/>
      <c r="H249"/>
    </row>
    <row r="250" spans="6:8" x14ac:dyDescent="0.35">
      <c r="F250"/>
      <c r="G250"/>
      <c r="H250"/>
    </row>
    <row r="251" spans="6:8" x14ac:dyDescent="0.35">
      <c r="F251"/>
      <c r="G251"/>
      <c r="H251"/>
    </row>
    <row r="252" spans="6:8" x14ac:dyDescent="0.35">
      <c r="F252"/>
      <c r="G252"/>
      <c r="H252"/>
    </row>
    <row r="253" spans="6:8" x14ac:dyDescent="0.35">
      <c r="F253"/>
      <c r="G253"/>
      <c r="H253"/>
    </row>
    <row r="254" spans="6:8" x14ac:dyDescent="0.35">
      <c r="F254"/>
      <c r="G254"/>
      <c r="H254"/>
    </row>
    <row r="255" spans="6:8" x14ac:dyDescent="0.35">
      <c r="F255"/>
      <c r="G255"/>
      <c r="H255"/>
    </row>
    <row r="256" spans="6:8" x14ac:dyDescent="0.35">
      <c r="F256"/>
      <c r="G256"/>
      <c r="H256"/>
    </row>
    <row r="257" spans="6:8" x14ac:dyDescent="0.35">
      <c r="F257"/>
      <c r="G257"/>
      <c r="H257"/>
    </row>
    <row r="258" spans="6:8" x14ac:dyDescent="0.35">
      <c r="F258"/>
      <c r="G258"/>
      <c r="H258"/>
    </row>
    <row r="259" spans="6:8" x14ac:dyDescent="0.35">
      <c r="F259"/>
      <c r="G259"/>
      <c r="H259"/>
    </row>
    <row r="260" spans="6:8" x14ac:dyDescent="0.35">
      <c r="F260"/>
      <c r="G260"/>
      <c r="H260"/>
    </row>
    <row r="261" spans="6:8" x14ac:dyDescent="0.35">
      <c r="F261"/>
      <c r="G261"/>
      <c r="H261"/>
    </row>
    <row r="262" spans="6:8" x14ac:dyDescent="0.35">
      <c r="F262"/>
      <c r="G262"/>
      <c r="H262"/>
    </row>
    <row r="263" spans="6:8" x14ac:dyDescent="0.35">
      <c r="F263"/>
      <c r="G263"/>
      <c r="H263"/>
    </row>
    <row r="264" spans="6:8" x14ac:dyDescent="0.35">
      <c r="F264"/>
      <c r="G264"/>
      <c r="H264"/>
    </row>
    <row r="265" spans="6:8" x14ac:dyDescent="0.35">
      <c r="F265"/>
      <c r="G265"/>
      <c r="H265"/>
    </row>
    <row r="266" spans="6:8" x14ac:dyDescent="0.35">
      <c r="F266"/>
      <c r="G266"/>
      <c r="H266"/>
    </row>
    <row r="267" spans="6:8" x14ac:dyDescent="0.35">
      <c r="F267"/>
      <c r="G267"/>
      <c r="H267"/>
    </row>
    <row r="268" spans="6:8" x14ac:dyDescent="0.35">
      <c r="F268"/>
      <c r="G268"/>
      <c r="H268"/>
    </row>
    <row r="269" spans="6:8" x14ac:dyDescent="0.35">
      <c r="F269"/>
      <c r="G269"/>
      <c r="H269"/>
    </row>
    <row r="270" spans="6:8" x14ac:dyDescent="0.35">
      <c r="F270"/>
      <c r="G270"/>
      <c r="H270"/>
    </row>
    <row r="271" spans="6:8" x14ac:dyDescent="0.35">
      <c r="F271"/>
      <c r="G271"/>
      <c r="H271"/>
    </row>
    <row r="272" spans="6:8" x14ac:dyDescent="0.35">
      <c r="F272"/>
      <c r="G272"/>
      <c r="H272"/>
    </row>
    <row r="273" spans="6:8" x14ac:dyDescent="0.35">
      <c r="F273"/>
      <c r="G273"/>
      <c r="H273"/>
    </row>
    <row r="274" spans="6:8" x14ac:dyDescent="0.35">
      <c r="F274"/>
      <c r="G274"/>
      <c r="H274"/>
    </row>
    <row r="275" spans="6:8" x14ac:dyDescent="0.35">
      <c r="F275"/>
      <c r="G275"/>
      <c r="H275"/>
    </row>
    <row r="276" spans="6:8" x14ac:dyDescent="0.35">
      <c r="F276"/>
      <c r="G276"/>
      <c r="H276"/>
    </row>
    <row r="277" spans="6:8" x14ac:dyDescent="0.35">
      <c r="F277"/>
      <c r="G277"/>
      <c r="H277"/>
    </row>
    <row r="278" spans="6:8" x14ac:dyDescent="0.35">
      <c r="F278"/>
      <c r="G278"/>
      <c r="H278"/>
    </row>
    <row r="279" spans="6:8" x14ac:dyDescent="0.35">
      <c r="F279"/>
      <c r="G279"/>
      <c r="H279"/>
    </row>
    <row r="280" spans="6:8" x14ac:dyDescent="0.35">
      <c r="F280"/>
      <c r="G280"/>
      <c r="H280"/>
    </row>
    <row r="281" spans="6:8" x14ac:dyDescent="0.35">
      <c r="F281"/>
      <c r="G281"/>
      <c r="H281"/>
    </row>
    <row r="282" spans="6:8" x14ac:dyDescent="0.35">
      <c r="F282"/>
      <c r="G282"/>
      <c r="H282"/>
    </row>
    <row r="283" spans="6:8" x14ac:dyDescent="0.35">
      <c r="F283"/>
      <c r="G283"/>
      <c r="H283"/>
    </row>
    <row r="284" spans="6:8" x14ac:dyDescent="0.35">
      <c r="F284"/>
      <c r="G284"/>
      <c r="H284"/>
    </row>
    <row r="285" spans="6:8" x14ac:dyDescent="0.35">
      <c r="F285"/>
      <c r="G285"/>
      <c r="H285"/>
    </row>
    <row r="286" spans="6:8" x14ac:dyDescent="0.35">
      <c r="F286"/>
      <c r="G286"/>
      <c r="H286"/>
    </row>
    <row r="287" spans="6:8" x14ac:dyDescent="0.35">
      <c r="F287"/>
      <c r="G287"/>
      <c r="H287"/>
    </row>
    <row r="288" spans="6:8" x14ac:dyDescent="0.35">
      <c r="F288"/>
      <c r="G288"/>
      <c r="H288"/>
    </row>
    <row r="289" spans="6:8" x14ac:dyDescent="0.35">
      <c r="F289"/>
      <c r="G289"/>
      <c r="H289"/>
    </row>
    <row r="290" spans="6:8" x14ac:dyDescent="0.35">
      <c r="F290"/>
      <c r="G290"/>
      <c r="H290"/>
    </row>
    <row r="291" spans="6:8" x14ac:dyDescent="0.35">
      <c r="F291"/>
      <c r="G291"/>
      <c r="H291"/>
    </row>
    <row r="292" spans="6:8" x14ac:dyDescent="0.35">
      <c r="F292"/>
      <c r="G292"/>
      <c r="H292"/>
    </row>
    <row r="293" spans="6:8" x14ac:dyDescent="0.35">
      <c r="F293"/>
      <c r="G293"/>
      <c r="H293"/>
    </row>
    <row r="294" spans="6:8" x14ac:dyDescent="0.35">
      <c r="F294"/>
      <c r="G294"/>
      <c r="H294"/>
    </row>
    <row r="295" spans="6:8" x14ac:dyDescent="0.35">
      <c r="F295"/>
      <c r="G295"/>
      <c r="H295"/>
    </row>
    <row r="296" spans="6:8" x14ac:dyDescent="0.35">
      <c r="F296"/>
      <c r="G296"/>
      <c r="H296"/>
    </row>
    <row r="297" spans="6:8" x14ac:dyDescent="0.35">
      <c r="F297"/>
      <c r="G297"/>
      <c r="H297"/>
    </row>
    <row r="298" spans="6:8" x14ac:dyDescent="0.35">
      <c r="F298"/>
      <c r="G298"/>
      <c r="H298"/>
    </row>
    <row r="299" spans="6:8" x14ac:dyDescent="0.35">
      <c r="F299"/>
      <c r="G299"/>
      <c r="H299"/>
    </row>
    <row r="300" spans="6:8" x14ac:dyDescent="0.35">
      <c r="F300"/>
      <c r="G300"/>
      <c r="H300"/>
    </row>
    <row r="301" spans="6:8" x14ac:dyDescent="0.35">
      <c r="F301"/>
      <c r="G301"/>
      <c r="H301"/>
    </row>
    <row r="302" spans="6:8" x14ac:dyDescent="0.35">
      <c r="F302"/>
      <c r="G302"/>
      <c r="H302"/>
    </row>
    <row r="303" spans="6:8" x14ac:dyDescent="0.35">
      <c r="F303"/>
      <c r="G303"/>
      <c r="H303"/>
    </row>
    <row r="304" spans="6:8" x14ac:dyDescent="0.35">
      <c r="F304"/>
      <c r="G304"/>
      <c r="H304"/>
    </row>
    <row r="305" spans="6:8" x14ac:dyDescent="0.35">
      <c r="F305"/>
      <c r="G305"/>
      <c r="H305"/>
    </row>
    <row r="306" spans="6:8" x14ac:dyDescent="0.35">
      <c r="F306"/>
      <c r="G306"/>
      <c r="H306"/>
    </row>
    <row r="307" spans="6:8" x14ac:dyDescent="0.35">
      <c r="F307"/>
      <c r="G307"/>
      <c r="H307"/>
    </row>
    <row r="308" spans="6:8" x14ac:dyDescent="0.35">
      <c r="F308"/>
      <c r="G308"/>
      <c r="H308"/>
    </row>
    <row r="309" spans="6:8" x14ac:dyDescent="0.35">
      <c r="F309"/>
      <c r="G309"/>
      <c r="H309"/>
    </row>
    <row r="310" spans="6:8" x14ac:dyDescent="0.35">
      <c r="F310"/>
      <c r="G310"/>
      <c r="H310"/>
    </row>
    <row r="311" spans="6:8" x14ac:dyDescent="0.35">
      <c r="F311"/>
      <c r="G311"/>
      <c r="H311"/>
    </row>
    <row r="312" spans="6:8" x14ac:dyDescent="0.35">
      <c r="F312"/>
      <c r="G312"/>
      <c r="H312"/>
    </row>
    <row r="313" spans="6:8" x14ac:dyDescent="0.35">
      <c r="F313"/>
      <c r="G313"/>
      <c r="H313"/>
    </row>
    <row r="314" spans="6:8" x14ac:dyDescent="0.35">
      <c r="F314"/>
      <c r="G314"/>
      <c r="H314"/>
    </row>
    <row r="315" spans="6:8" x14ac:dyDescent="0.35">
      <c r="F315"/>
      <c r="G315"/>
      <c r="H315"/>
    </row>
    <row r="316" spans="6:8" x14ac:dyDescent="0.35">
      <c r="F316"/>
      <c r="G316"/>
      <c r="H316"/>
    </row>
    <row r="317" spans="6:8" x14ac:dyDescent="0.35">
      <c r="F317"/>
      <c r="G317"/>
      <c r="H317"/>
    </row>
    <row r="318" spans="6:8" x14ac:dyDescent="0.35">
      <c r="F318"/>
      <c r="G318"/>
      <c r="H318"/>
    </row>
    <row r="319" spans="6:8" x14ac:dyDescent="0.35">
      <c r="F319"/>
      <c r="G319"/>
      <c r="H319"/>
    </row>
    <row r="320" spans="6:8" x14ac:dyDescent="0.35">
      <c r="F320"/>
      <c r="G320"/>
      <c r="H320"/>
    </row>
    <row r="321" spans="6:8" x14ac:dyDescent="0.35">
      <c r="F321"/>
      <c r="G321"/>
      <c r="H321"/>
    </row>
    <row r="322" spans="6:8" x14ac:dyDescent="0.35">
      <c r="F322"/>
      <c r="G322"/>
      <c r="H322"/>
    </row>
    <row r="323" spans="6:8" x14ac:dyDescent="0.35">
      <c r="F323"/>
      <c r="G323"/>
      <c r="H323"/>
    </row>
    <row r="324" spans="6:8" x14ac:dyDescent="0.35">
      <c r="F324"/>
      <c r="G324"/>
      <c r="H324"/>
    </row>
    <row r="325" spans="6:8" x14ac:dyDescent="0.35">
      <c r="F325"/>
      <c r="G325"/>
      <c r="H325"/>
    </row>
    <row r="326" spans="6:8" x14ac:dyDescent="0.35">
      <c r="F326"/>
      <c r="G326"/>
      <c r="H326"/>
    </row>
    <row r="327" spans="6:8" x14ac:dyDescent="0.35">
      <c r="F327"/>
      <c r="G327"/>
      <c r="H327"/>
    </row>
    <row r="328" spans="6:8" x14ac:dyDescent="0.35">
      <c r="F328"/>
      <c r="G328"/>
      <c r="H328"/>
    </row>
    <row r="329" spans="6:8" x14ac:dyDescent="0.35">
      <c r="F329"/>
      <c r="G329"/>
      <c r="H329"/>
    </row>
    <row r="330" spans="6:8" x14ac:dyDescent="0.35">
      <c r="F330"/>
      <c r="G330"/>
      <c r="H330"/>
    </row>
    <row r="331" spans="6:8" x14ac:dyDescent="0.35">
      <c r="F331"/>
      <c r="G331"/>
      <c r="H331"/>
    </row>
    <row r="332" spans="6:8" x14ac:dyDescent="0.35">
      <c r="F332"/>
      <c r="G332"/>
      <c r="H332"/>
    </row>
    <row r="333" spans="6:8" x14ac:dyDescent="0.35">
      <c r="F333"/>
      <c r="G333"/>
      <c r="H333"/>
    </row>
    <row r="334" spans="6:8" x14ac:dyDescent="0.35">
      <c r="F334"/>
      <c r="G334"/>
      <c r="H334"/>
    </row>
    <row r="335" spans="6:8" x14ac:dyDescent="0.35">
      <c r="F335"/>
      <c r="G335"/>
      <c r="H335"/>
    </row>
    <row r="336" spans="6:8" x14ac:dyDescent="0.35">
      <c r="F336"/>
      <c r="G336"/>
      <c r="H336"/>
    </row>
    <row r="337" spans="6:8" x14ac:dyDescent="0.35">
      <c r="F337"/>
      <c r="G337"/>
      <c r="H337"/>
    </row>
    <row r="338" spans="6:8" x14ac:dyDescent="0.35">
      <c r="F338"/>
      <c r="G338"/>
      <c r="H338"/>
    </row>
    <row r="339" spans="6:8" x14ac:dyDescent="0.35">
      <c r="F339"/>
      <c r="G339"/>
      <c r="H339"/>
    </row>
    <row r="340" spans="6:8" x14ac:dyDescent="0.35">
      <c r="F340"/>
      <c r="G340"/>
      <c r="H340"/>
    </row>
    <row r="341" spans="6:8" x14ac:dyDescent="0.35">
      <c r="F341"/>
      <c r="G341"/>
      <c r="H341"/>
    </row>
    <row r="342" spans="6:8" x14ac:dyDescent="0.35">
      <c r="F342"/>
      <c r="G342"/>
      <c r="H342"/>
    </row>
    <row r="343" spans="6:8" x14ac:dyDescent="0.35">
      <c r="F343"/>
      <c r="G343"/>
      <c r="H343"/>
    </row>
    <row r="344" spans="6:8" x14ac:dyDescent="0.35">
      <c r="F344"/>
      <c r="G344"/>
      <c r="H344"/>
    </row>
    <row r="345" spans="6:8" x14ac:dyDescent="0.35">
      <c r="F345"/>
      <c r="G345"/>
      <c r="H345"/>
    </row>
    <row r="346" spans="6:8" x14ac:dyDescent="0.35">
      <c r="F346"/>
      <c r="G346"/>
      <c r="H346"/>
    </row>
    <row r="347" spans="6:8" x14ac:dyDescent="0.35">
      <c r="F347"/>
      <c r="G347"/>
      <c r="H347"/>
    </row>
    <row r="348" spans="6:8" x14ac:dyDescent="0.35">
      <c r="F348"/>
      <c r="G348"/>
      <c r="H348"/>
    </row>
    <row r="349" spans="6:8" x14ac:dyDescent="0.35">
      <c r="F349"/>
      <c r="G349"/>
      <c r="H349"/>
    </row>
    <row r="350" spans="6:8" x14ac:dyDescent="0.35">
      <c r="F350"/>
      <c r="G350"/>
      <c r="H350"/>
    </row>
    <row r="351" spans="6:8" x14ac:dyDescent="0.35">
      <c r="F351"/>
      <c r="G351"/>
      <c r="H351"/>
    </row>
    <row r="352" spans="6:8" x14ac:dyDescent="0.35">
      <c r="F352"/>
      <c r="G352"/>
      <c r="H352"/>
    </row>
    <row r="353" spans="6:8" x14ac:dyDescent="0.35">
      <c r="F353"/>
      <c r="G353"/>
      <c r="H353"/>
    </row>
    <row r="354" spans="6:8" x14ac:dyDescent="0.35">
      <c r="F354"/>
      <c r="G354"/>
      <c r="H354"/>
    </row>
    <row r="355" spans="6:8" x14ac:dyDescent="0.35">
      <c r="F355"/>
      <c r="G355"/>
      <c r="H355"/>
    </row>
    <row r="356" spans="6:8" x14ac:dyDescent="0.35">
      <c r="F356"/>
      <c r="G356"/>
      <c r="H356"/>
    </row>
    <row r="357" spans="6:8" x14ac:dyDescent="0.35">
      <c r="F357"/>
      <c r="G357"/>
      <c r="H357"/>
    </row>
    <row r="358" spans="6:8" x14ac:dyDescent="0.35">
      <c r="F358"/>
      <c r="G358"/>
      <c r="H358"/>
    </row>
    <row r="359" spans="6:8" x14ac:dyDescent="0.35">
      <c r="F359"/>
      <c r="G359"/>
      <c r="H359"/>
    </row>
    <row r="360" spans="6:8" x14ac:dyDescent="0.35">
      <c r="F360"/>
      <c r="G360"/>
      <c r="H360"/>
    </row>
    <row r="361" spans="6:8" x14ac:dyDescent="0.35">
      <c r="F361"/>
      <c r="G361"/>
      <c r="H361"/>
    </row>
    <row r="362" spans="6:8" x14ac:dyDescent="0.35">
      <c r="F362"/>
      <c r="G362"/>
      <c r="H362"/>
    </row>
    <row r="363" spans="6:8" x14ac:dyDescent="0.35">
      <c r="F363"/>
      <c r="G363"/>
      <c r="H363"/>
    </row>
    <row r="364" spans="6:8" x14ac:dyDescent="0.35">
      <c r="F364"/>
      <c r="G364"/>
      <c r="H364"/>
    </row>
    <row r="365" spans="6:8" x14ac:dyDescent="0.35">
      <c r="F365"/>
      <c r="G365"/>
      <c r="H365"/>
    </row>
    <row r="366" spans="6:8" x14ac:dyDescent="0.35">
      <c r="F366"/>
      <c r="G366"/>
      <c r="H366"/>
    </row>
    <row r="367" spans="6:8" x14ac:dyDescent="0.35">
      <c r="F367"/>
      <c r="G367"/>
      <c r="H367"/>
    </row>
    <row r="368" spans="6:8" x14ac:dyDescent="0.35">
      <c r="F368"/>
      <c r="G368"/>
      <c r="H368"/>
    </row>
    <row r="369" spans="6:8" x14ac:dyDescent="0.35">
      <c r="F369"/>
      <c r="G369"/>
      <c r="H369"/>
    </row>
    <row r="370" spans="6:8" x14ac:dyDescent="0.35">
      <c r="F370"/>
      <c r="G370"/>
      <c r="H370"/>
    </row>
    <row r="371" spans="6:8" x14ac:dyDescent="0.35">
      <c r="F371"/>
      <c r="G371"/>
      <c r="H371"/>
    </row>
    <row r="372" spans="6:8" x14ac:dyDescent="0.35">
      <c r="F372"/>
      <c r="G372"/>
      <c r="H372"/>
    </row>
    <row r="373" spans="6:8" x14ac:dyDescent="0.35">
      <c r="F373"/>
      <c r="G373"/>
      <c r="H373"/>
    </row>
    <row r="374" spans="6:8" x14ac:dyDescent="0.35">
      <c r="F374"/>
      <c r="G374"/>
      <c r="H374"/>
    </row>
    <row r="375" spans="6:8" x14ac:dyDescent="0.35">
      <c r="F375"/>
      <c r="G375"/>
      <c r="H375"/>
    </row>
    <row r="376" spans="6:8" x14ac:dyDescent="0.35">
      <c r="F376"/>
      <c r="G376"/>
      <c r="H376"/>
    </row>
    <row r="377" spans="6:8" x14ac:dyDescent="0.35">
      <c r="F377"/>
      <c r="G377"/>
      <c r="H377"/>
    </row>
    <row r="378" spans="6:8" x14ac:dyDescent="0.35">
      <c r="F378"/>
      <c r="G378"/>
      <c r="H378"/>
    </row>
    <row r="379" spans="6:8" x14ac:dyDescent="0.35">
      <c r="F379"/>
      <c r="G379"/>
      <c r="H379"/>
    </row>
    <row r="380" spans="6:8" x14ac:dyDescent="0.35">
      <c r="F380"/>
      <c r="G380"/>
      <c r="H380"/>
    </row>
    <row r="381" spans="6:8" x14ac:dyDescent="0.35">
      <c r="F381"/>
      <c r="G381"/>
      <c r="H381"/>
    </row>
    <row r="382" spans="6:8" x14ac:dyDescent="0.35">
      <c r="F382"/>
      <c r="G382"/>
      <c r="H382"/>
    </row>
    <row r="383" spans="6:8" x14ac:dyDescent="0.35">
      <c r="F383"/>
      <c r="G383"/>
      <c r="H383"/>
    </row>
    <row r="384" spans="6:8" x14ac:dyDescent="0.35">
      <c r="F384"/>
      <c r="G384"/>
      <c r="H384"/>
    </row>
    <row r="385" spans="6:8" x14ac:dyDescent="0.35">
      <c r="F385"/>
      <c r="G385"/>
      <c r="H385"/>
    </row>
    <row r="386" spans="6:8" x14ac:dyDescent="0.35">
      <c r="F386"/>
      <c r="G386"/>
      <c r="H386"/>
    </row>
    <row r="387" spans="6:8" x14ac:dyDescent="0.35">
      <c r="F387"/>
      <c r="G387"/>
      <c r="H387"/>
    </row>
    <row r="388" spans="6:8" x14ac:dyDescent="0.35">
      <c r="F388"/>
      <c r="G388"/>
      <c r="H388"/>
    </row>
    <row r="389" spans="6:8" x14ac:dyDescent="0.35">
      <c r="F389"/>
      <c r="G389"/>
      <c r="H389"/>
    </row>
    <row r="390" spans="6:8" x14ac:dyDescent="0.35">
      <c r="F390"/>
      <c r="G390"/>
      <c r="H390"/>
    </row>
    <row r="391" spans="6:8" x14ac:dyDescent="0.35">
      <c r="F391"/>
      <c r="G391"/>
      <c r="H391"/>
    </row>
    <row r="392" spans="6:8" x14ac:dyDescent="0.35">
      <c r="F392"/>
      <c r="G392"/>
      <c r="H392"/>
    </row>
    <row r="393" spans="6:8" x14ac:dyDescent="0.35">
      <c r="F393"/>
      <c r="G393"/>
      <c r="H393"/>
    </row>
    <row r="394" spans="6:8" x14ac:dyDescent="0.35">
      <c r="F394"/>
      <c r="G394"/>
      <c r="H394"/>
    </row>
    <row r="395" spans="6:8" x14ac:dyDescent="0.35">
      <c r="F395"/>
      <c r="G395"/>
      <c r="H395"/>
    </row>
    <row r="396" spans="6:8" x14ac:dyDescent="0.35">
      <c r="F396"/>
      <c r="G396"/>
      <c r="H396"/>
    </row>
    <row r="397" spans="6:8" x14ac:dyDescent="0.35">
      <c r="F397"/>
      <c r="G397"/>
      <c r="H397"/>
    </row>
    <row r="398" spans="6:8" x14ac:dyDescent="0.35">
      <c r="F398"/>
      <c r="G398"/>
      <c r="H398"/>
    </row>
    <row r="399" spans="6:8" x14ac:dyDescent="0.35">
      <c r="F399"/>
      <c r="G399"/>
      <c r="H399"/>
    </row>
    <row r="400" spans="6:8" x14ac:dyDescent="0.35">
      <c r="F400"/>
      <c r="G400"/>
      <c r="H400"/>
    </row>
    <row r="401" spans="6:8" x14ac:dyDescent="0.35">
      <c r="F401"/>
      <c r="G401"/>
      <c r="H401"/>
    </row>
    <row r="402" spans="6:8" x14ac:dyDescent="0.35">
      <c r="F402"/>
      <c r="G402"/>
      <c r="H402"/>
    </row>
    <row r="403" spans="6:8" x14ac:dyDescent="0.35">
      <c r="F403"/>
      <c r="G403"/>
      <c r="H403"/>
    </row>
    <row r="404" spans="6:8" x14ac:dyDescent="0.35">
      <c r="F404"/>
      <c r="G404"/>
      <c r="H404"/>
    </row>
    <row r="405" spans="6:8" x14ac:dyDescent="0.35">
      <c r="F405"/>
      <c r="G405"/>
      <c r="H405"/>
    </row>
    <row r="406" spans="6:8" x14ac:dyDescent="0.35">
      <c r="F406"/>
      <c r="G406"/>
      <c r="H406"/>
    </row>
    <row r="407" spans="6:8" x14ac:dyDescent="0.35">
      <c r="F407"/>
      <c r="G407"/>
      <c r="H407"/>
    </row>
    <row r="408" spans="6:8" x14ac:dyDescent="0.35">
      <c r="F408"/>
      <c r="G408"/>
      <c r="H408"/>
    </row>
    <row r="409" spans="6:8" x14ac:dyDescent="0.35">
      <c r="F409"/>
      <c r="G409"/>
      <c r="H409"/>
    </row>
    <row r="410" spans="6:8" x14ac:dyDescent="0.35">
      <c r="F410"/>
      <c r="G410"/>
      <c r="H410"/>
    </row>
    <row r="411" spans="6:8" x14ac:dyDescent="0.35">
      <c r="F411"/>
      <c r="G411"/>
      <c r="H411"/>
    </row>
    <row r="412" spans="6:8" x14ac:dyDescent="0.35">
      <c r="F412"/>
      <c r="G412"/>
      <c r="H412"/>
    </row>
    <row r="413" spans="6:8" x14ac:dyDescent="0.35">
      <c r="F413"/>
      <c r="G413"/>
      <c r="H413"/>
    </row>
    <row r="414" spans="6:8" x14ac:dyDescent="0.35">
      <c r="F414"/>
      <c r="G414"/>
      <c r="H414"/>
    </row>
    <row r="415" spans="6:8" x14ac:dyDescent="0.35">
      <c r="F415"/>
      <c r="G415"/>
      <c r="H415"/>
    </row>
    <row r="416" spans="6:8" x14ac:dyDescent="0.35">
      <c r="F416"/>
      <c r="G416"/>
      <c r="H416"/>
    </row>
  </sheetData>
  <mergeCells count="4">
    <mergeCell ref="A1:B1"/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12345678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 Mudaliar</dc:creator>
  <cp:lastModifiedBy>Srikanth Mudaliar</cp:lastModifiedBy>
  <dcterms:created xsi:type="dcterms:W3CDTF">2026-03-01T12:04:05Z</dcterms:created>
  <dcterms:modified xsi:type="dcterms:W3CDTF">2026-03-04T15:33:30Z</dcterms:modified>
</cp:coreProperties>
</file>